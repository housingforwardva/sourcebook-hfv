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price\VAR Dropbox\Ryan Price\DATA REQUESTS\2025\Housing Forward Virginia\"/>
    </mc:Choice>
  </mc:AlternateContent>
  <xr:revisionPtr revIDLastSave="0" documentId="8_{34037EE8-412F-4D33-95C4-4777B29B2342}" xr6:coauthVersionLast="47" xr6:coauthVersionMax="47" xr10:uidLastSave="{00000000-0000-0000-0000-000000000000}"/>
  <bookViews>
    <workbookView xWindow="2562" yWindow="2562" windowWidth="9552" windowHeight="11832" activeTab="2" xr2:uid="{00000000-000D-0000-FFFF-FFFF00000000}"/>
  </bookViews>
  <sheets>
    <sheet name="CityCounty SFCT" sheetId="1" r:id="rId1"/>
    <sheet name="CityCounty SF" sheetId="2" r:id="rId2"/>
    <sheet name="CityCounty CT" sheetId="3" r:id="rId3"/>
    <sheet name="MSA SFCT" sheetId="4" r:id="rId4"/>
    <sheet name="MSA SF" sheetId="5" r:id="rId5"/>
    <sheet name="MSA C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2" l="1"/>
  <c r="C139" i="2"/>
  <c r="E18" i="6"/>
  <c r="D18" i="6"/>
  <c r="C18" i="6"/>
  <c r="B18" i="6"/>
  <c r="E84" i="3"/>
  <c r="D84" i="3"/>
  <c r="C84" i="3"/>
  <c r="B84" i="3"/>
  <c r="D139" i="2"/>
  <c r="B139" i="2"/>
  <c r="E18" i="5"/>
  <c r="D18" i="5"/>
  <c r="C18" i="5"/>
  <c r="B18" i="5"/>
  <c r="E18" i="4"/>
  <c r="D18" i="4"/>
  <c r="C18" i="4"/>
  <c r="B18" i="4"/>
  <c r="E139" i="1"/>
  <c r="D139" i="1"/>
  <c r="C139" i="1"/>
  <c r="B139" i="1"/>
</calcChain>
</file>

<file path=xl/sharedStrings.xml><?xml version="1.0" encoding="utf-8"?>
<sst xmlns="http://schemas.openxmlformats.org/spreadsheetml/2006/main" count="464" uniqueCount="163">
  <si>
    <t>City County</t>
  </si>
  <si>
    <t>Units</t>
  </si>
  <si>
    <t>% of Units</t>
  </si>
  <si>
    <t>Volume</t>
  </si>
  <si>
    <t>% of Volume</t>
  </si>
  <si>
    <t>Avg Price</t>
  </si>
  <si>
    <t>Avg DOM</t>
  </si>
  <si>
    <t>Avg A/S Ratio</t>
  </si>
  <si>
    <t>Median Price</t>
  </si>
  <si>
    <t>Median DOM</t>
  </si>
  <si>
    <t>Median A/S Ratio</t>
  </si>
  <si>
    <t>Fairfax County</t>
  </si>
  <si>
    <t>Chesterfield County</t>
  </si>
  <si>
    <t>Virginia Beach City</t>
  </si>
  <si>
    <t>Prince William County</t>
  </si>
  <si>
    <t>Loudoun County</t>
  </si>
  <si>
    <t>Chesapeake City</t>
  </si>
  <si>
    <t>Henrico County</t>
  </si>
  <si>
    <t>Norfolk City</t>
  </si>
  <si>
    <t>Richmond City</t>
  </si>
  <si>
    <t>Newport News City</t>
  </si>
  <si>
    <t>Stafford County</t>
  </si>
  <si>
    <t>Hampton City</t>
  </si>
  <si>
    <t>Arlington County</t>
  </si>
  <si>
    <t>Spotsylvania County</t>
  </si>
  <si>
    <t>Alexandria City</t>
  </si>
  <si>
    <t>Suffolk City</t>
  </si>
  <si>
    <t>Portsmouth City</t>
  </si>
  <si>
    <t>Albemarle County</t>
  </si>
  <si>
    <t>Hanover County</t>
  </si>
  <si>
    <t>James City County</t>
  </si>
  <si>
    <t>Roanoke County</t>
  </si>
  <si>
    <t>Frederick County</t>
  </si>
  <si>
    <t>Roanoke City</t>
  </si>
  <si>
    <t>Bedford County</t>
  </si>
  <si>
    <t>Rockingham County</t>
  </si>
  <si>
    <t>Lynchburg City</t>
  </si>
  <si>
    <t>York County</t>
  </si>
  <si>
    <t>Montgomery County</t>
  </si>
  <si>
    <t>Shenandoah County</t>
  </si>
  <si>
    <t>Danville City</t>
  </si>
  <si>
    <t>Fauquier County</t>
  </si>
  <si>
    <t>New Kent County</t>
  </si>
  <si>
    <t>Isle of Wight County</t>
  </si>
  <si>
    <t>Louisa County</t>
  </si>
  <si>
    <t>Augusta County</t>
  </si>
  <si>
    <t>Franklin County</t>
  </si>
  <si>
    <t>Campbell County</t>
  </si>
  <si>
    <t>Warren County</t>
  </si>
  <si>
    <t>Accomack County</t>
  </si>
  <si>
    <t>Culpeper County</t>
  </si>
  <si>
    <t>Fluvanna County</t>
  </si>
  <si>
    <t>Orange County</t>
  </si>
  <si>
    <t>Petersburg City</t>
  </si>
  <si>
    <t>Gloucester County</t>
  </si>
  <si>
    <t>Staunton City</t>
  </si>
  <si>
    <t>Goochland County</t>
  </si>
  <si>
    <t>Charlottesville City</t>
  </si>
  <si>
    <t>Caroline County</t>
  </si>
  <si>
    <t>King George County</t>
  </si>
  <si>
    <t>Manassas City</t>
  </si>
  <si>
    <t>Hopewell City</t>
  </si>
  <si>
    <t>Harrisonburg City</t>
  </si>
  <si>
    <t>Waynesboro City</t>
  </si>
  <si>
    <t>King William County</t>
  </si>
  <si>
    <t>Nelson County</t>
  </si>
  <si>
    <t>Westmoreland County</t>
  </si>
  <si>
    <t>Page County</t>
  </si>
  <si>
    <t>Pulaski County</t>
  </si>
  <si>
    <t>Powhatan County</t>
  </si>
  <si>
    <t>Dinwiddie County</t>
  </si>
  <si>
    <t>Washington County</t>
  </si>
  <si>
    <t>Martinsville City</t>
  </si>
  <si>
    <t>Botetourt County</t>
  </si>
  <si>
    <t>Lancaster County</t>
  </si>
  <si>
    <t>Fredericksburg City</t>
  </si>
  <si>
    <t>Prince George County</t>
  </si>
  <si>
    <t>Winchester City</t>
  </si>
  <si>
    <t>Henry County</t>
  </si>
  <si>
    <t>Wythe County</t>
  </si>
  <si>
    <t>Salem City</t>
  </si>
  <si>
    <t>Amherst County</t>
  </si>
  <si>
    <t>Colonial Heights City</t>
  </si>
  <si>
    <t>Rockbridge County</t>
  </si>
  <si>
    <t>Northumberland County</t>
  </si>
  <si>
    <t>Carroll County</t>
  </si>
  <si>
    <t>Prince Edward County</t>
  </si>
  <si>
    <t>Williamsburg City</t>
  </si>
  <si>
    <t>Tazewell County</t>
  </si>
  <si>
    <t>Fairfax City</t>
  </si>
  <si>
    <t>Northampton County</t>
  </si>
  <si>
    <t>Halifax County</t>
  </si>
  <si>
    <t>Giles County</t>
  </si>
  <si>
    <t>Smyth County</t>
  </si>
  <si>
    <t>Greene County</t>
  </si>
  <si>
    <t>Clarke County</t>
  </si>
  <si>
    <t>Middlesex County</t>
  </si>
  <si>
    <t>Mecklenburg County</t>
  </si>
  <si>
    <t>Radford City</t>
  </si>
  <si>
    <t>Patrick County</t>
  </si>
  <si>
    <t>Nottoway County</t>
  </si>
  <si>
    <t>Floyd County</t>
  </si>
  <si>
    <t>Franklin City</t>
  </si>
  <si>
    <t>Amelia County</t>
  </si>
  <si>
    <t>Southampton County</t>
  </si>
  <si>
    <t>Madison County</t>
  </si>
  <si>
    <t>Appomattox County</t>
  </si>
  <si>
    <t>Galax City</t>
  </si>
  <si>
    <t>Alleghany County</t>
  </si>
  <si>
    <t>Manassas Park City</t>
  </si>
  <si>
    <t>Pittsylvania County</t>
  </si>
  <si>
    <t>Essex County</t>
  </si>
  <si>
    <t>Poquoson City</t>
  </si>
  <si>
    <t>Mathews County</t>
  </si>
  <si>
    <t>Falls Church City</t>
  </si>
  <si>
    <t>Lunenburg County</t>
  </si>
  <si>
    <t>Lexington City</t>
  </si>
  <si>
    <t>Buena Vista City</t>
  </si>
  <si>
    <t>Grayson County</t>
  </si>
  <si>
    <t>Cumberland County</t>
  </si>
  <si>
    <t>Rappahannock County</t>
  </si>
  <si>
    <t>Bristol City</t>
  </si>
  <si>
    <t>Buckingham County</t>
  </si>
  <si>
    <t>Sussex County</t>
  </si>
  <si>
    <t>Charlotte County</t>
  </si>
  <si>
    <t>Covington City</t>
  </si>
  <si>
    <t>Charles City County</t>
  </si>
  <si>
    <t>Russell County</t>
  </si>
  <si>
    <t>Greensville County</t>
  </si>
  <si>
    <t>Surry County</t>
  </si>
  <si>
    <t>Richmond County</t>
  </si>
  <si>
    <t>Highland County</t>
  </si>
  <si>
    <t>Bath County</t>
  </si>
  <si>
    <t>Buchanan County</t>
  </si>
  <si>
    <t>Bland County</t>
  </si>
  <si>
    <t>Brunswick County</t>
  </si>
  <si>
    <t>Craig County</t>
  </si>
  <si>
    <t>Grand Total</t>
  </si>
  <si>
    <t>Kingsport-Bristol MSA</t>
  </si>
  <si>
    <t>Danville MSA</t>
  </si>
  <si>
    <t>Harrisonburg MSA</t>
  </si>
  <si>
    <t>Blacksburg-Christiansburg-Radford</t>
  </si>
  <si>
    <t>Winchester MSA</t>
  </si>
  <si>
    <t>Lynchburg MSA</t>
  </si>
  <si>
    <t>Charlottesville MSA</t>
  </si>
  <si>
    <t>Roanoke MSA</t>
  </si>
  <si>
    <t>Other</t>
  </si>
  <si>
    <t>Richmond MSA</t>
  </si>
  <si>
    <t>Virginia Beach-Norfolk-Newport News MSA</t>
  </si>
  <si>
    <t>Washington MSA</t>
  </si>
  <si>
    <t>MSA</t>
  </si>
  <si>
    <t xml:space="preserve">For Area Delimited By Entire VAR - Condo/Town, Single-Family Property Types  </t>
  </si>
  <si>
    <t>Emporia City</t>
  </si>
  <si>
    <t xml:space="preserve">For Area Delimited By Entire VAR - Single-Family Property Type  </t>
  </si>
  <si>
    <t xml:space="preserve">For Area Delimited By Entire VAR - Condo/Town Property Type  </t>
  </si>
  <si>
    <t>Wise County</t>
  </si>
  <si>
    <t>Scott County</t>
  </si>
  <si>
    <t>Lee County</t>
  </si>
  <si>
    <t>Norton City</t>
  </si>
  <si>
    <t>Dickenson County</t>
  </si>
  <si>
    <t>Perfomance Distribution by City County - Closed Date From Apr 01, 2025 To Jun 30, 2025</t>
  </si>
  <si>
    <t>King and Queen County</t>
  </si>
  <si>
    <t>Perfomance Distribution by MSA - Closed Date From Apr 01, 2025 To Jun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</si>
</sst>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%"/>
    <numFmt numFmtId="165" formatCode="#,###.#0"/>
  </numFmts>
  <fonts count="5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7E0E2"/>
        <bgColor rgb="FF000000"/>
      </patternFill>
    </fill>
    <fill>
      <patternFill patternType="solid">
        <fgColor rgb="FF007DC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0" fillId="0" borderId="0" xfId="0" applyNumberFormat="1"/>
    <xf numFmtId="0" fontId="1" fillId="0" borderId="0" xfId="0" applyFont="1"/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/>
    <xf numFmtId="0" fontId="4" fillId="3" borderId="0" xfId="0" applyFont="1" applyFill="1" applyAlignment="1">
      <alignment horizontal="left" vertical="center"/>
    </xf>
    <xf numFmtId="3" fontId="3" fillId="0" borderId="0" xfId="0" applyNumberFormat="1" applyFont="1"/>
    <xf numFmtId="3" fontId="3" fillId="2" borderId="0" xfId="0" applyNumberFormat="1" applyFont="1" applyFill="1"/>
    <xf numFmtId="3" fontId="4" fillId="3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" fillId="2" borderId="0" xfId="0" applyNumberFormat="1" applyFont="1" applyFill="1"/>
    <xf numFmtId="164" fontId="4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"/>
    </sheetView>
  </sheetViews>
  <sheetFormatPr defaultRowHeight="14.4" x14ac:dyDescent="0.55000000000000004"/>
  <cols>
    <col min="1" max="1" width="25" customWidth="1"/>
    <col min="2" max="7" width="15" customWidth="1"/>
    <col min="8" max="11" width="10" customWidth="1"/>
    <col min="12" max="12" width="20" customWidth="1"/>
  </cols>
  <sheetData>
    <row r="1" spans="1:12" ht="18.3" x14ac:dyDescent="0.7">
      <c r="A1" s="2" t="s">
        <v>160</v>
      </c>
    </row>
    <row r="2" spans="1:12" ht="18.3" x14ac:dyDescent="0.7">
      <c r="A2" s="2" t="s">
        <v>151</v>
      </c>
    </row>
    <row r="5" spans="1:12" ht="31.2" x14ac:dyDescent="0.55000000000000004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2" ht="15.6" x14ac:dyDescent="0.6">
      <c r="A6" s="4" t="s">
        <v>11</v>
      </c>
      <c r="B6" s="7">
        <v>3814</v>
      </c>
      <c r="C6" s="10">
        <v>0.1234024654609</v>
      </c>
      <c r="D6" s="7">
        <v>3391567150</v>
      </c>
      <c r="E6" s="10">
        <v>0.19924827965906999</v>
      </c>
      <c r="F6" s="7">
        <v>889241.51809100003</v>
      </c>
      <c r="G6" s="7">
        <v>15.6953</v>
      </c>
      <c r="H6" s="10">
        <v>1.0078494266</v>
      </c>
      <c r="I6" s="7">
        <v>775000</v>
      </c>
      <c r="J6" s="7">
        <v>6</v>
      </c>
      <c r="K6" s="10">
        <v>1</v>
      </c>
      <c r="L6" s="1"/>
    </row>
    <row r="7" spans="1:12" ht="15.6" x14ac:dyDescent="0.6">
      <c r="A7" s="5" t="s">
        <v>13</v>
      </c>
      <c r="B7" s="8">
        <v>1836</v>
      </c>
      <c r="C7" s="11">
        <v>5.9404018507133997E-2</v>
      </c>
      <c r="D7" s="8">
        <v>922615283</v>
      </c>
      <c r="E7" s="11">
        <v>5.4201936684319003E-2</v>
      </c>
      <c r="F7" s="8">
        <v>502513.77069700003</v>
      </c>
      <c r="G7" s="8">
        <v>22.3491</v>
      </c>
      <c r="H7" s="11">
        <v>1.0023264132</v>
      </c>
      <c r="I7" s="8">
        <v>395000</v>
      </c>
      <c r="J7" s="8">
        <v>11</v>
      </c>
      <c r="K7" s="11">
        <v>1</v>
      </c>
      <c r="L7" s="1"/>
    </row>
    <row r="8" spans="1:12" ht="15.6" x14ac:dyDescent="0.6">
      <c r="A8" s="4" t="s">
        <v>14</v>
      </c>
      <c r="B8" s="7">
        <v>1577</v>
      </c>
      <c r="C8" s="10">
        <v>5.1024039861520001E-2</v>
      </c>
      <c r="D8" s="7">
        <v>1010378919</v>
      </c>
      <c r="E8" s="10">
        <v>5.9357887522452003E-2</v>
      </c>
      <c r="F8" s="7">
        <v>640696.84147099999</v>
      </c>
      <c r="G8" s="7">
        <v>14.8339</v>
      </c>
      <c r="H8" s="10">
        <v>1.0094407595999999</v>
      </c>
      <c r="I8" s="7">
        <v>595000</v>
      </c>
      <c r="J8" s="7">
        <v>6</v>
      </c>
      <c r="K8" s="10">
        <v>1.0000020000000001</v>
      </c>
      <c r="L8" s="1"/>
    </row>
    <row r="9" spans="1:12" ht="15.6" x14ac:dyDescent="0.6">
      <c r="A9" s="5" t="s">
        <v>15</v>
      </c>
      <c r="B9" s="8">
        <v>1548</v>
      </c>
      <c r="C9" s="11">
        <v>5.008574109425E-2</v>
      </c>
      <c r="D9" s="8">
        <v>1385078997</v>
      </c>
      <c r="E9" s="11">
        <v>8.1370822141664995E-2</v>
      </c>
      <c r="F9" s="8">
        <v>894753.87403099996</v>
      </c>
      <c r="G9" s="8">
        <v>16.1828</v>
      </c>
      <c r="H9" s="11">
        <v>1.008010853</v>
      </c>
      <c r="I9" s="8">
        <v>800000</v>
      </c>
      <c r="J9" s="8">
        <v>6</v>
      </c>
      <c r="K9" s="11">
        <v>1</v>
      </c>
      <c r="L9" s="1"/>
    </row>
    <row r="10" spans="1:12" ht="15.6" x14ac:dyDescent="0.6">
      <c r="A10" s="4" t="s">
        <v>12</v>
      </c>
      <c r="B10" s="7">
        <v>1490</v>
      </c>
      <c r="C10" s="10">
        <v>4.8209143559711003E-2</v>
      </c>
      <c r="D10" s="7">
        <v>727405213</v>
      </c>
      <c r="E10" s="10">
        <v>4.2733707131610003E-2</v>
      </c>
      <c r="F10" s="7">
        <v>488191.418121</v>
      </c>
      <c r="G10" s="7">
        <v>24.8047</v>
      </c>
      <c r="H10" s="10">
        <v>1.0107244194</v>
      </c>
      <c r="I10" s="7">
        <v>429950</v>
      </c>
      <c r="J10" s="7">
        <v>7</v>
      </c>
      <c r="K10" s="10">
        <v>1</v>
      </c>
      <c r="L10" s="1"/>
    </row>
    <row r="11" spans="1:12" ht="15.6" x14ac:dyDescent="0.6">
      <c r="A11" s="5" t="s">
        <v>17</v>
      </c>
      <c r="B11" s="8">
        <v>1244</v>
      </c>
      <c r="C11" s="11">
        <v>4.0249781602873E-2</v>
      </c>
      <c r="D11" s="8">
        <v>603447636</v>
      </c>
      <c r="E11" s="11">
        <v>3.5451429389311999E-2</v>
      </c>
      <c r="F11" s="8">
        <v>485086.52411599999</v>
      </c>
      <c r="G11" s="8">
        <v>20.299800000000001</v>
      </c>
      <c r="H11" s="11">
        <v>1.0185158271000001</v>
      </c>
      <c r="I11" s="8">
        <v>413250</v>
      </c>
      <c r="J11" s="8">
        <v>7</v>
      </c>
      <c r="K11" s="11">
        <v>1</v>
      </c>
      <c r="L11" s="1"/>
    </row>
    <row r="12" spans="1:12" ht="15.6" x14ac:dyDescent="0.6">
      <c r="A12" s="4" t="s">
        <v>16</v>
      </c>
      <c r="B12" s="7">
        <v>1085</v>
      </c>
      <c r="C12" s="10">
        <v>3.5105315947844003E-2</v>
      </c>
      <c r="D12" s="7">
        <v>492000726</v>
      </c>
      <c r="E12" s="10">
        <v>2.8904130129493E-2</v>
      </c>
      <c r="F12" s="7">
        <v>453456.89032300003</v>
      </c>
      <c r="G12" s="7">
        <v>30.3751</v>
      </c>
      <c r="H12" s="10">
        <v>1.0029869694</v>
      </c>
      <c r="I12" s="7">
        <v>419323</v>
      </c>
      <c r="J12" s="7">
        <v>15</v>
      </c>
      <c r="K12" s="10">
        <v>1</v>
      </c>
      <c r="L12" s="1"/>
    </row>
    <row r="13" spans="1:12" ht="15.6" x14ac:dyDescent="0.6">
      <c r="A13" s="5" t="s">
        <v>18</v>
      </c>
      <c r="B13" s="8">
        <v>902</v>
      </c>
      <c r="C13" s="11">
        <v>2.9184327175074E-2</v>
      </c>
      <c r="D13" s="8">
        <v>332750135</v>
      </c>
      <c r="E13" s="11">
        <v>1.9548453273311998E-2</v>
      </c>
      <c r="F13" s="8">
        <v>368902.58869200002</v>
      </c>
      <c r="G13" s="8">
        <v>30.041</v>
      </c>
      <c r="H13" s="11">
        <v>0.99712424700000002</v>
      </c>
      <c r="I13" s="8">
        <v>325000</v>
      </c>
      <c r="J13" s="8">
        <v>15</v>
      </c>
      <c r="K13" s="11">
        <v>1</v>
      </c>
      <c r="L13" s="1"/>
    </row>
    <row r="14" spans="1:12" ht="15.6" x14ac:dyDescent="0.6">
      <c r="A14" s="4" t="s">
        <v>19</v>
      </c>
      <c r="B14" s="7">
        <v>797</v>
      </c>
      <c r="C14" s="10">
        <v>2.5787038534960002E-2</v>
      </c>
      <c r="D14" s="7">
        <v>426957974</v>
      </c>
      <c r="E14" s="10">
        <v>2.5082989085508999E-2</v>
      </c>
      <c r="F14" s="7">
        <v>535706.36637399998</v>
      </c>
      <c r="G14" s="7">
        <v>19.995000000000001</v>
      </c>
      <c r="H14" s="10">
        <v>1.021991082</v>
      </c>
      <c r="I14" s="7">
        <v>425000</v>
      </c>
      <c r="J14" s="7">
        <v>8</v>
      </c>
      <c r="K14" s="10">
        <v>1</v>
      </c>
      <c r="L14" s="1"/>
    </row>
    <row r="15" spans="1:12" ht="15.6" x14ac:dyDescent="0.6">
      <c r="A15" s="5" t="s">
        <v>23</v>
      </c>
      <c r="B15" s="8">
        <v>703</v>
      </c>
      <c r="C15" s="11">
        <v>2.2745656323809999E-2</v>
      </c>
      <c r="D15" s="8">
        <v>675330520</v>
      </c>
      <c r="E15" s="11">
        <v>3.9674415501774002E-2</v>
      </c>
      <c r="F15" s="8">
        <v>960640.85348499997</v>
      </c>
      <c r="G15" s="8">
        <v>22.142199999999999</v>
      </c>
      <c r="H15" s="11">
        <v>0.99953336670000004</v>
      </c>
      <c r="I15" s="8">
        <v>789000</v>
      </c>
      <c r="J15" s="8">
        <v>8</v>
      </c>
      <c r="K15" s="11">
        <v>1</v>
      </c>
      <c r="L15" s="1"/>
    </row>
    <row r="16" spans="1:12" ht="15.6" x14ac:dyDescent="0.6">
      <c r="A16" s="4" t="s">
        <v>25</v>
      </c>
      <c r="B16" s="7">
        <v>603</v>
      </c>
      <c r="C16" s="10">
        <v>1.9510143333225E-2</v>
      </c>
      <c r="D16" s="7">
        <v>503572460</v>
      </c>
      <c r="E16" s="10">
        <v>2.9583948039680001E-2</v>
      </c>
      <c r="F16" s="7">
        <v>835111.87396400003</v>
      </c>
      <c r="G16" s="7">
        <v>19.079599999999999</v>
      </c>
      <c r="H16" s="10">
        <v>1.0003649063</v>
      </c>
      <c r="I16" s="7">
        <v>765000</v>
      </c>
      <c r="J16" s="7">
        <v>8</v>
      </c>
      <c r="K16" s="10">
        <v>1</v>
      </c>
      <c r="L16" s="1"/>
    </row>
    <row r="17" spans="1:12" ht="15.6" x14ac:dyDescent="0.6">
      <c r="A17" s="5" t="s">
        <v>21</v>
      </c>
      <c r="B17" s="8">
        <v>597</v>
      </c>
      <c r="C17" s="11">
        <v>1.931601255379E-2</v>
      </c>
      <c r="D17" s="8">
        <v>344817924</v>
      </c>
      <c r="E17" s="11">
        <v>2.0257413494706E-2</v>
      </c>
      <c r="F17" s="8">
        <v>577584.46231199999</v>
      </c>
      <c r="G17" s="8">
        <v>21.484100000000002</v>
      </c>
      <c r="H17" s="11">
        <v>1.0034192083</v>
      </c>
      <c r="I17" s="8">
        <v>560000</v>
      </c>
      <c r="J17" s="8">
        <v>7</v>
      </c>
      <c r="K17" s="11">
        <v>1</v>
      </c>
      <c r="L17" s="1"/>
    </row>
    <row r="18" spans="1:12" ht="15.6" x14ac:dyDescent="0.6">
      <c r="A18" s="4" t="s">
        <v>20</v>
      </c>
      <c r="B18" s="7">
        <v>571</v>
      </c>
      <c r="C18" s="10">
        <v>1.8474779176238E-2</v>
      </c>
      <c r="D18" s="7">
        <v>180402326</v>
      </c>
      <c r="E18" s="10">
        <v>1.059830205691E-2</v>
      </c>
      <c r="F18" s="7">
        <v>315941.02626999997</v>
      </c>
      <c r="G18" s="7">
        <v>29.886199999999999</v>
      </c>
      <c r="H18" s="10">
        <v>0.99928774760000005</v>
      </c>
      <c r="I18" s="7">
        <v>300000</v>
      </c>
      <c r="J18" s="7">
        <v>16</v>
      </c>
      <c r="K18" s="10">
        <v>1</v>
      </c>
      <c r="L18" s="1"/>
    </row>
    <row r="19" spans="1:12" ht="15.6" x14ac:dyDescent="0.6">
      <c r="A19" s="5" t="s">
        <v>22</v>
      </c>
      <c r="B19" s="8">
        <v>536</v>
      </c>
      <c r="C19" s="11">
        <v>1.7342349629534001E-2</v>
      </c>
      <c r="D19" s="8">
        <v>160918078</v>
      </c>
      <c r="E19" s="11">
        <v>9.4536386247119995E-3</v>
      </c>
      <c r="F19" s="8">
        <v>300220.29477600002</v>
      </c>
      <c r="G19" s="8">
        <v>34.048499999999997</v>
      </c>
      <c r="H19" s="11">
        <v>0.99976132890000002</v>
      </c>
      <c r="I19" s="8">
        <v>285000</v>
      </c>
      <c r="J19" s="8">
        <v>18</v>
      </c>
      <c r="K19" s="11">
        <v>1</v>
      </c>
      <c r="L19" s="1"/>
    </row>
    <row r="20" spans="1:12" ht="15.6" x14ac:dyDescent="0.6">
      <c r="A20" s="4" t="s">
        <v>24</v>
      </c>
      <c r="B20" s="7">
        <v>525</v>
      </c>
      <c r="C20" s="10">
        <v>1.6986443200568999E-2</v>
      </c>
      <c r="D20" s="7">
        <v>273453353</v>
      </c>
      <c r="E20" s="10">
        <v>1.6064877309669E-2</v>
      </c>
      <c r="F20" s="7">
        <v>520863.52952400001</v>
      </c>
      <c r="G20" s="7">
        <v>25.268599999999999</v>
      </c>
      <c r="H20" s="10">
        <v>1.0020132480999999</v>
      </c>
      <c r="I20" s="7">
        <v>462000</v>
      </c>
      <c r="J20" s="7">
        <v>9</v>
      </c>
      <c r="K20" s="10">
        <v>1</v>
      </c>
      <c r="L20" s="1"/>
    </row>
    <row r="21" spans="1:12" ht="15.6" x14ac:dyDescent="0.6">
      <c r="A21" s="5" t="s">
        <v>26</v>
      </c>
      <c r="B21" s="8">
        <v>522</v>
      </c>
      <c r="C21" s="11">
        <v>1.6889377810852001E-2</v>
      </c>
      <c r="D21" s="8">
        <v>222670083</v>
      </c>
      <c r="E21" s="11">
        <v>1.3081454385855999E-2</v>
      </c>
      <c r="F21" s="8">
        <v>426571.04022999998</v>
      </c>
      <c r="G21" s="8">
        <v>36.791200000000003</v>
      </c>
      <c r="H21" s="11">
        <v>0.9988310708</v>
      </c>
      <c r="I21" s="8">
        <v>407450</v>
      </c>
      <c r="J21" s="8">
        <v>24</v>
      </c>
      <c r="K21" s="11">
        <v>1</v>
      </c>
      <c r="L21" s="1"/>
    </row>
    <row r="22" spans="1:12" ht="15.6" x14ac:dyDescent="0.6">
      <c r="A22" s="4" t="s">
        <v>28</v>
      </c>
      <c r="B22" s="7">
        <v>468</v>
      </c>
      <c r="C22" s="10">
        <v>1.5142200795935999E-2</v>
      </c>
      <c r="D22" s="7">
        <v>342873314</v>
      </c>
      <c r="E22" s="10">
        <v>2.0143171263910999E-2</v>
      </c>
      <c r="F22" s="7">
        <v>732635.28632499999</v>
      </c>
      <c r="G22" s="7">
        <v>24.459399999999999</v>
      </c>
      <c r="H22" s="10">
        <v>1.0044606107</v>
      </c>
      <c r="I22" s="7">
        <v>575000</v>
      </c>
      <c r="J22" s="7">
        <v>7</v>
      </c>
      <c r="K22" s="10">
        <v>1</v>
      </c>
      <c r="L22" s="1"/>
    </row>
    <row r="23" spans="1:12" ht="15.6" x14ac:dyDescent="0.6">
      <c r="A23" s="5" t="s">
        <v>32</v>
      </c>
      <c r="B23" s="8">
        <v>468</v>
      </c>
      <c r="C23" s="11">
        <v>1.5142200795935999E-2</v>
      </c>
      <c r="D23" s="8">
        <v>222738628</v>
      </c>
      <c r="E23" s="11">
        <v>1.3085481277474E-2</v>
      </c>
      <c r="F23" s="8">
        <v>475937.23931600002</v>
      </c>
      <c r="G23" s="8">
        <v>39.495699999999999</v>
      </c>
      <c r="H23" s="11">
        <v>0.99669743050000004</v>
      </c>
      <c r="I23" s="8">
        <v>450000</v>
      </c>
      <c r="J23" s="8">
        <v>16</v>
      </c>
      <c r="K23" s="11">
        <v>1</v>
      </c>
      <c r="L23" s="1"/>
    </row>
    <row r="24" spans="1:12" ht="15.6" x14ac:dyDescent="0.6">
      <c r="A24" s="4" t="s">
        <v>27</v>
      </c>
      <c r="B24" s="7">
        <v>463</v>
      </c>
      <c r="C24" s="10">
        <v>1.4980425146407E-2</v>
      </c>
      <c r="D24" s="7">
        <v>129781645</v>
      </c>
      <c r="E24" s="10">
        <v>7.6244309352902998E-3</v>
      </c>
      <c r="F24" s="7">
        <v>280305.92872600001</v>
      </c>
      <c r="G24" s="7">
        <v>32.924399999999999</v>
      </c>
      <c r="H24" s="10">
        <v>1.0008155439999999</v>
      </c>
      <c r="I24" s="7">
        <v>270000</v>
      </c>
      <c r="J24" s="7">
        <v>19</v>
      </c>
      <c r="K24" s="10">
        <v>1</v>
      </c>
      <c r="L24" s="1"/>
    </row>
    <row r="25" spans="1:12" ht="15.6" x14ac:dyDescent="0.6">
      <c r="A25" s="5" t="s">
        <v>30</v>
      </c>
      <c r="B25" s="8">
        <v>455</v>
      </c>
      <c r="C25" s="11">
        <v>1.4721584107160001E-2</v>
      </c>
      <c r="D25" s="8">
        <v>241674593</v>
      </c>
      <c r="E25" s="11">
        <v>1.4197934100334E-2</v>
      </c>
      <c r="F25" s="8">
        <v>531152.95164800005</v>
      </c>
      <c r="G25" s="8">
        <v>31.485700000000001</v>
      </c>
      <c r="H25" s="11">
        <v>0.99714552590000005</v>
      </c>
      <c r="I25" s="8">
        <v>475000</v>
      </c>
      <c r="J25" s="8">
        <v>16</v>
      </c>
      <c r="K25" s="11">
        <v>1</v>
      </c>
      <c r="L25" s="1"/>
    </row>
    <row r="26" spans="1:12" ht="15.6" x14ac:dyDescent="0.6">
      <c r="A26" s="4" t="s">
        <v>29</v>
      </c>
      <c r="B26" s="7">
        <v>409</v>
      </c>
      <c r="C26" s="10">
        <v>1.3233248131491E-2</v>
      </c>
      <c r="D26" s="7">
        <v>208731360</v>
      </c>
      <c r="E26" s="10">
        <v>1.2262580262018E-2</v>
      </c>
      <c r="F26" s="7">
        <v>510345.62347200001</v>
      </c>
      <c r="G26" s="7">
        <v>29.163799999999998</v>
      </c>
      <c r="H26" s="10">
        <v>1.0062631471000001</v>
      </c>
      <c r="I26" s="7">
        <v>470000</v>
      </c>
      <c r="J26" s="7">
        <v>7</v>
      </c>
      <c r="K26" s="10">
        <v>1</v>
      </c>
      <c r="L26" s="1"/>
    </row>
    <row r="27" spans="1:12" ht="15.6" x14ac:dyDescent="0.6">
      <c r="A27" s="5" t="s">
        <v>31</v>
      </c>
      <c r="B27" s="8">
        <v>370</v>
      </c>
      <c r="C27" s="11">
        <v>1.1971398065162999E-2</v>
      </c>
      <c r="D27" s="8">
        <v>142335055</v>
      </c>
      <c r="E27" s="11">
        <v>8.3619204897445003E-3</v>
      </c>
      <c r="F27" s="8">
        <v>384689.33783799998</v>
      </c>
      <c r="G27" s="8">
        <v>30.2135</v>
      </c>
      <c r="H27" s="11">
        <v>0.99320678910000004</v>
      </c>
      <c r="I27" s="8">
        <v>355000</v>
      </c>
      <c r="J27" s="8">
        <v>7</v>
      </c>
      <c r="K27" s="11">
        <v>1</v>
      </c>
      <c r="L27" s="1"/>
    </row>
    <row r="28" spans="1:12" ht="15.6" x14ac:dyDescent="0.6">
      <c r="A28" s="4" t="s">
        <v>36</v>
      </c>
      <c r="B28" s="7">
        <v>341</v>
      </c>
      <c r="C28" s="10">
        <v>1.1033099297894E-2</v>
      </c>
      <c r="D28" s="7">
        <v>114701151</v>
      </c>
      <c r="E28" s="10">
        <v>6.7384798828664001E-3</v>
      </c>
      <c r="F28" s="7">
        <v>336367.01173000003</v>
      </c>
      <c r="G28" s="7">
        <v>32.246299999999998</v>
      </c>
      <c r="H28" s="10">
        <v>0.98838857120000001</v>
      </c>
      <c r="I28" s="7">
        <v>286000</v>
      </c>
      <c r="J28" s="7">
        <v>11</v>
      </c>
      <c r="K28" s="10">
        <v>1</v>
      </c>
      <c r="L28" s="1"/>
    </row>
    <row r="29" spans="1:12" ht="15.6" x14ac:dyDescent="0.6">
      <c r="A29" s="5" t="s">
        <v>34</v>
      </c>
      <c r="B29" s="8">
        <v>342</v>
      </c>
      <c r="C29" s="11">
        <v>1.106545442779916E-2</v>
      </c>
      <c r="D29" s="8">
        <v>163682088</v>
      </c>
      <c r="E29" s="11">
        <v>9.6160190857506305E-3</v>
      </c>
      <c r="F29" s="8">
        <v>478602.59649099997</v>
      </c>
      <c r="G29" s="8">
        <v>40.625700000000002</v>
      </c>
      <c r="H29" s="11">
        <v>0.98346519570000002</v>
      </c>
      <c r="I29" s="8">
        <v>385000</v>
      </c>
      <c r="J29" s="8">
        <v>16</v>
      </c>
      <c r="K29" s="11">
        <v>1</v>
      </c>
      <c r="L29" s="1"/>
    </row>
    <row r="30" spans="1:12" ht="15.6" x14ac:dyDescent="0.6">
      <c r="A30" s="4" t="s">
        <v>33</v>
      </c>
      <c r="B30" s="7">
        <v>319</v>
      </c>
      <c r="C30" s="10">
        <v>1.0321286439964999E-2</v>
      </c>
      <c r="D30" s="7">
        <v>96931084</v>
      </c>
      <c r="E30" s="10">
        <v>5.6945214050940999E-3</v>
      </c>
      <c r="F30" s="7">
        <v>303859.19749200001</v>
      </c>
      <c r="G30" s="7">
        <v>28.956099999999999</v>
      </c>
      <c r="H30" s="10">
        <v>0.98416710279999997</v>
      </c>
      <c r="I30" s="7">
        <v>250000</v>
      </c>
      <c r="J30" s="7">
        <v>9</v>
      </c>
      <c r="K30" s="10">
        <v>1</v>
      </c>
      <c r="L30" s="1"/>
    </row>
    <row r="31" spans="1:12" ht="15.6" x14ac:dyDescent="0.6">
      <c r="A31" s="5" t="s">
        <v>35</v>
      </c>
      <c r="B31" s="8">
        <v>301</v>
      </c>
      <c r="C31" s="11">
        <v>9.7388941016598E-3</v>
      </c>
      <c r="D31" s="8">
        <v>126590892</v>
      </c>
      <c r="E31" s="11">
        <v>7.4369801144899004E-3</v>
      </c>
      <c r="F31" s="8">
        <v>420567.747508</v>
      </c>
      <c r="G31" s="8">
        <v>29.681100000000001</v>
      </c>
      <c r="H31" s="11">
        <v>0.99975755079999995</v>
      </c>
      <c r="I31" s="8">
        <v>368000</v>
      </c>
      <c r="J31" s="8">
        <v>8</v>
      </c>
      <c r="K31" s="11">
        <v>1</v>
      </c>
      <c r="L31" s="1"/>
    </row>
    <row r="32" spans="1:12" ht="15.6" x14ac:dyDescent="0.6">
      <c r="A32" s="4" t="s">
        <v>38</v>
      </c>
      <c r="B32" s="7">
        <v>295</v>
      </c>
      <c r="C32" s="10">
        <v>9.5447633222246996E-3</v>
      </c>
      <c r="D32" s="7">
        <v>130598337</v>
      </c>
      <c r="E32" s="10">
        <v>7.6724100755563001E-3</v>
      </c>
      <c r="F32" s="7">
        <v>442706.22711899999</v>
      </c>
      <c r="G32" s="7">
        <v>34.169499999999999</v>
      </c>
      <c r="H32" s="10">
        <v>0.99736464319999996</v>
      </c>
      <c r="I32" s="7">
        <v>387000</v>
      </c>
      <c r="J32" s="7">
        <v>7</v>
      </c>
      <c r="K32" s="10">
        <v>1</v>
      </c>
      <c r="L32" s="1"/>
    </row>
    <row r="33" spans="1:12" ht="15.6" x14ac:dyDescent="0.6">
      <c r="A33" s="5" t="s">
        <v>37</v>
      </c>
      <c r="B33" s="8">
        <v>279</v>
      </c>
      <c r="C33" s="11">
        <v>9.0270812437311995E-3</v>
      </c>
      <c r="D33" s="8">
        <v>133925574</v>
      </c>
      <c r="E33" s="11">
        <v>7.8678790782171996E-3</v>
      </c>
      <c r="F33" s="8">
        <v>480019.97849499999</v>
      </c>
      <c r="G33" s="8">
        <v>22.842300000000002</v>
      </c>
      <c r="H33" s="11">
        <v>1.0016771321</v>
      </c>
      <c r="I33" s="8">
        <v>459000</v>
      </c>
      <c r="J33" s="8">
        <v>11</v>
      </c>
      <c r="K33" s="11">
        <v>1</v>
      </c>
      <c r="L33" s="1"/>
    </row>
    <row r="34" spans="1:12" ht="15.6" x14ac:dyDescent="0.6">
      <c r="A34" s="4" t="s">
        <v>41</v>
      </c>
      <c r="B34" s="7">
        <v>273</v>
      </c>
      <c r="C34" s="10">
        <v>8.8329504642961007E-3</v>
      </c>
      <c r="D34" s="7">
        <v>194212061</v>
      </c>
      <c r="E34" s="10">
        <v>1.1409598374985E-2</v>
      </c>
      <c r="F34" s="7">
        <v>711399.490842</v>
      </c>
      <c r="G34" s="7">
        <v>25.3736</v>
      </c>
      <c r="H34" s="10">
        <v>1.0026423314999999</v>
      </c>
      <c r="I34" s="7">
        <v>615000</v>
      </c>
      <c r="J34" s="7">
        <v>9</v>
      </c>
      <c r="K34" s="10">
        <v>1</v>
      </c>
      <c r="L34" s="1"/>
    </row>
    <row r="35" spans="1:12" ht="15.6" x14ac:dyDescent="0.6">
      <c r="A35" s="5" t="s">
        <v>45</v>
      </c>
      <c r="B35" s="8">
        <v>271</v>
      </c>
      <c r="C35" s="11">
        <v>8.7682402044844E-3</v>
      </c>
      <c r="D35" s="8">
        <v>104546492</v>
      </c>
      <c r="E35" s="11">
        <v>6.1419125006534998E-3</v>
      </c>
      <c r="F35" s="8">
        <v>385780.41328400001</v>
      </c>
      <c r="G35" s="8">
        <v>29.686299999999999</v>
      </c>
      <c r="H35" s="11">
        <v>0.99432128409999998</v>
      </c>
      <c r="I35" s="8">
        <v>349900</v>
      </c>
      <c r="J35" s="8">
        <v>8</v>
      </c>
      <c r="K35" s="11">
        <v>1</v>
      </c>
      <c r="L35" s="1"/>
    </row>
    <row r="36" spans="1:12" ht="15.6" x14ac:dyDescent="0.6">
      <c r="A36" s="4" t="s">
        <v>46</v>
      </c>
      <c r="B36" s="7">
        <v>214</v>
      </c>
      <c r="C36" s="10">
        <v>6.9239977998512003E-3</v>
      </c>
      <c r="D36" s="7">
        <v>116430153</v>
      </c>
      <c r="E36" s="10">
        <v>6.8400555435538003E-3</v>
      </c>
      <c r="F36" s="7">
        <v>544066.13551399997</v>
      </c>
      <c r="G36" s="7">
        <v>45.485999999999997</v>
      </c>
      <c r="H36" s="10">
        <v>0.97436358219999997</v>
      </c>
      <c r="I36" s="7">
        <v>380000</v>
      </c>
      <c r="J36" s="7">
        <v>18</v>
      </c>
      <c r="K36" s="10">
        <v>0.98625600000000002</v>
      </c>
      <c r="L36" s="1"/>
    </row>
    <row r="37" spans="1:12" ht="15.6" x14ac:dyDescent="0.6">
      <c r="A37" s="5" t="s">
        <v>44</v>
      </c>
      <c r="B37" s="8">
        <v>199</v>
      </c>
      <c r="C37" s="11">
        <v>6.4386708512635003E-3</v>
      </c>
      <c r="D37" s="8">
        <v>114436338</v>
      </c>
      <c r="E37" s="11">
        <v>6.7229226102700004E-3</v>
      </c>
      <c r="F37" s="8">
        <v>575056.97487399995</v>
      </c>
      <c r="G37" s="8">
        <v>49.0854</v>
      </c>
      <c r="H37" s="11">
        <v>1.0002750181</v>
      </c>
      <c r="I37" s="8">
        <v>445000</v>
      </c>
      <c r="J37" s="8">
        <v>21</v>
      </c>
      <c r="K37" s="11">
        <v>1</v>
      </c>
      <c r="L37" s="1"/>
    </row>
    <row r="38" spans="1:12" ht="15.6" x14ac:dyDescent="0.6">
      <c r="A38" s="4" t="s">
        <v>47</v>
      </c>
      <c r="B38" s="7">
        <v>199</v>
      </c>
      <c r="C38" s="10">
        <v>6.4386708512635003E-3</v>
      </c>
      <c r="D38" s="7">
        <v>58682964</v>
      </c>
      <c r="E38" s="10">
        <v>3.4475152946021E-3</v>
      </c>
      <c r="F38" s="7">
        <v>294889.26633200003</v>
      </c>
      <c r="G38" s="7">
        <v>36.5779</v>
      </c>
      <c r="H38" s="10">
        <v>0.99202980470000002</v>
      </c>
      <c r="I38" s="7">
        <v>285000</v>
      </c>
      <c r="J38" s="7">
        <v>12</v>
      </c>
      <c r="K38" s="10">
        <v>1</v>
      </c>
      <c r="L38" s="1"/>
    </row>
    <row r="39" spans="1:12" ht="15.6" x14ac:dyDescent="0.6">
      <c r="A39" s="5" t="s">
        <v>52</v>
      </c>
      <c r="B39" s="8">
        <v>196</v>
      </c>
      <c r="C39" s="11">
        <v>6.3416054615458997E-3</v>
      </c>
      <c r="D39" s="8">
        <v>89336790</v>
      </c>
      <c r="E39" s="11">
        <v>5.2483707178741E-3</v>
      </c>
      <c r="F39" s="8">
        <v>455799.94897999999</v>
      </c>
      <c r="G39" s="8">
        <v>35.954099999999997</v>
      </c>
      <c r="H39" s="11">
        <v>0.99606112729999996</v>
      </c>
      <c r="I39" s="8">
        <v>409999.5</v>
      </c>
      <c r="J39" s="8">
        <v>16</v>
      </c>
      <c r="K39" s="11">
        <v>1</v>
      </c>
      <c r="L39" s="1"/>
    </row>
    <row r="40" spans="1:12" ht="15.6" x14ac:dyDescent="0.6">
      <c r="A40" s="4" t="s">
        <v>39</v>
      </c>
      <c r="B40" s="7">
        <v>182</v>
      </c>
      <c r="C40" s="10">
        <v>5.8886336428641004E-3</v>
      </c>
      <c r="D40" s="7">
        <v>66664592</v>
      </c>
      <c r="E40" s="10">
        <v>3.9164211359264999E-3</v>
      </c>
      <c r="F40" s="7">
        <v>366288.96703300002</v>
      </c>
      <c r="G40" s="7">
        <v>31.324200000000001</v>
      </c>
      <c r="H40" s="10">
        <v>0.99445862429999998</v>
      </c>
      <c r="I40" s="7">
        <v>339500</v>
      </c>
      <c r="J40" s="7">
        <v>11</v>
      </c>
      <c r="K40" s="10">
        <v>1</v>
      </c>
      <c r="L40" s="1"/>
    </row>
    <row r="41" spans="1:12" ht="15.6" x14ac:dyDescent="0.6">
      <c r="A41" s="5" t="s">
        <v>48</v>
      </c>
      <c r="B41" s="8">
        <v>175</v>
      </c>
      <c r="C41" s="11">
        <v>5.6621477335231998E-3</v>
      </c>
      <c r="D41" s="8">
        <v>77255480</v>
      </c>
      <c r="E41" s="11">
        <v>4.5386161628071997E-3</v>
      </c>
      <c r="F41" s="8">
        <v>441459.88571399997</v>
      </c>
      <c r="G41" s="8">
        <v>31.462900000000001</v>
      </c>
      <c r="H41" s="11">
        <v>0.99945145300000005</v>
      </c>
      <c r="I41" s="8">
        <v>399900</v>
      </c>
      <c r="J41" s="8">
        <v>11</v>
      </c>
      <c r="K41" s="11">
        <v>1</v>
      </c>
      <c r="L41" s="1"/>
    </row>
    <row r="42" spans="1:12" ht="15.6" x14ac:dyDescent="0.6">
      <c r="A42" s="4" t="s">
        <v>40</v>
      </c>
      <c r="B42" s="7">
        <v>162</v>
      </c>
      <c r="C42" s="10">
        <v>5.2415310447470999E-3</v>
      </c>
      <c r="D42" s="7">
        <v>28760419</v>
      </c>
      <c r="E42" s="10">
        <v>1.6896212737595999E-3</v>
      </c>
      <c r="F42" s="7">
        <v>177533.45061699999</v>
      </c>
      <c r="G42" s="7">
        <v>100.3704</v>
      </c>
      <c r="H42" s="10">
        <v>0.95086457729999996</v>
      </c>
      <c r="I42" s="7">
        <v>146450</v>
      </c>
      <c r="J42" s="7">
        <v>73.5</v>
      </c>
      <c r="K42" s="10">
        <v>0.97394049999999999</v>
      </c>
      <c r="L42" s="1"/>
    </row>
    <row r="43" spans="1:12" ht="15.6" x14ac:dyDescent="0.6">
      <c r="A43" s="5" t="s">
        <v>43</v>
      </c>
      <c r="B43" s="8">
        <v>160</v>
      </c>
      <c r="C43" s="11">
        <v>5.1768207849354998E-3</v>
      </c>
      <c r="D43" s="8">
        <v>71374423</v>
      </c>
      <c r="E43" s="11">
        <v>4.1931149717642996E-3</v>
      </c>
      <c r="F43" s="8">
        <v>446090.14374999999</v>
      </c>
      <c r="G43" s="8">
        <v>33.168799999999997</v>
      </c>
      <c r="H43" s="11">
        <v>1.0005544329</v>
      </c>
      <c r="I43" s="8">
        <v>436500</v>
      </c>
      <c r="J43" s="8">
        <v>20</v>
      </c>
      <c r="K43" s="11">
        <v>1</v>
      </c>
      <c r="L43" s="1"/>
    </row>
    <row r="44" spans="1:12" ht="15.6" x14ac:dyDescent="0.6">
      <c r="A44" s="4" t="s">
        <v>50</v>
      </c>
      <c r="B44" s="7">
        <v>158</v>
      </c>
      <c r="C44" s="10">
        <v>5.1121105251237999E-3</v>
      </c>
      <c r="D44" s="7">
        <v>81557700</v>
      </c>
      <c r="E44" s="10">
        <v>4.7913636083987002E-3</v>
      </c>
      <c r="F44" s="7">
        <v>516187.97468400002</v>
      </c>
      <c r="G44" s="7">
        <v>32.145600000000002</v>
      </c>
      <c r="H44" s="10">
        <v>0.99782931090000004</v>
      </c>
      <c r="I44" s="7">
        <v>485000</v>
      </c>
      <c r="J44" s="7">
        <v>15.5</v>
      </c>
      <c r="K44" s="10">
        <v>1</v>
      </c>
      <c r="L44" s="1"/>
    </row>
    <row r="45" spans="1:12" ht="15.6" x14ac:dyDescent="0.6">
      <c r="A45" s="5" t="s">
        <v>58</v>
      </c>
      <c r="B45" s="8">
        <v>154</v>
      </c>
      <c r="C45" s="11">
        <v>4.9826900055004002E-3</v>
      </c>
      <c r="D45" s="8">
        <v>58144285</v>
      </c>
      <c r="E45" s="11">
        <v>3.4158689024501999E-3</v>
      </c>
      <c r="F45" s="8">
        <v>377560.29220800003</v>
      </c>
      <c r="G45" s="8">
        <v>40.026000000000003</v>
      </c>
      <c r="H45" s="11">
        <v>0.99407713630000005</v>
      </c>
      <c r="I45" s="8">
        <v>354000</v>
      </c>
      <c r="J45" s="8">
        <v>19</v>
      </c>
      <c r="K45" s="11">
        <v>1</v>
      </c>
      <c r="L45" s="1"/>
    </row>
    <row r="46" spans="1:12" ht="15.6" x14ac:dyDescent="0.6">
      <c r="A46" s="4" t="s">
        <v>42</v>
      </c>
      <c r="B46" s="7">
        <v>152</v>
      </c>
      <c r="C46" s="10">
        <v>4.9179797456887003E-3</v>
      </c>
      <c r="D46" s="7">
        <v>71382069</v>
      </c>
      <c r="E46" s="10">
        <v>4.1935641600830999E-3</v>
      </c>
      <c r="F46" s="7">
        <v>469618.875</v>
      </c>
      <c r="G46" s="7">
        <v>37.546100000000003</v>
      </c>
      <c r="H46" s="10">
        <v>1.0039444900000001</v>
      </c>
      <c r="I46" s="7">
        <v>444700</v>
      </c>
      <c r="J46" s="7">
        <v>15.5</v>
      </c>
      <c r="K46" s="10">
        <v>1</v>
      </c>
      <c r="L46" s="1"/>
    </row>
    <row r="47" spans="1:12" ht="15.6" x14ac:dyDescent="0.6">
      <c r="A47" s="5" t="s">
        <v>57</v>
      </c>
      <c r="B47" s="8">
        <v>149</v>
      </c>
      <c r="C47" s="11">
        <v>4.8209143559710997E-3</v>
      </c>
      <c r="D47" s="8">
        <v>105351285</v>
      </c>
      <c r="E47" s="11">
        <v>6.1891925967388003E-3</v>
      </c>
      <c r="F47" s="8">
        <v>707055.60402700002</v>
      </c>
      <c r="G47" s="8">
        <v>15.3154</v>
      </c>
      <c r="H47" s="11">
        <v>0.99424908150000002</v>
      </c>
      <c r="I47" s="8">
        <v>509000</v>
      </c>
      <c r="J47" s="8">
        <v>7</v>
      </c>
      <c r="K47" s="11">
        <v>1</v>
      </c>
      <c r="L47" s="1"/>
    </row>
    <row r="48" spans="1:12" ht="15.6" x14ac:dyDescent="0.6">
      <c r="A48" s="4" t="s">
        <v>53</v>
      </c>
      <c r="B48" s="7">
        <v>142</v>
      </c>
      <c r="C48" s="10">
        <v>4.5944284466302001E-3</v>
      </c>
      <c r="D48" s="7">
        <v>33293825</v>
      </c>
      <c r="E48" s="10">
        <v>1.9559504680660999E-3</v>
      </c>
      <c r="F48" s="7">
        <v>234463.55633799999</v>
      </c>
      <c r="G48" s="7">
        <v>30.415500000000002</v>
      </c>
      <c r="H48" s="10">
        <v>1.0036489338000001</v>
      </c>
      <c r="I48" s="7">
        <v>235000</v>
      </c>
      <c r="J48" s="7">
        <v>18</v>
      </c>
      <c r="K48" s="10">
        <v>1</v>
      </c>
      <c r="L48" s="1"/>
    </row>
    <row r="49" spans="1:12" ht="15.6" x14ac:dyDescent="0.6">
      <c r="A49" s="5" t="s">
        <v>49</v>
      </c>
      <c r="B49" s="8">
        <v>139</v>
      </c>
      <c r="C49" s="11">
        <v>4.4973630569127001E-3</v>
      </c>
      <c r="D49" s="8">
        <v>48587729</v>
      </c>
      <c r="E49" s="11">
        <v>2.8544389621745002E-3</v>
      </c>
      <c r="F49" s="8">
        <v>349552.00719400001</v>
      </c>
      <c r="G49" s="8">
        <v>75.014399999999995</v>
      </c>
      <c r="H49" s="11">
        <v>0.95819132500000004</v>
      </c>
      <c r="I49" s="8">
        <v>311700</v>
      </c>
      <c r="J49" s="8">
        <v>36</v>
      </c>
      <c r="K49" s="11">
        <v>0.97722100000000001</v>
      </c>
      <c r="L49" s="1"/>
    </row>
    <row r="50" spans="1:12" ht="15.6" x14ac:dyDescent="0.6">
      <c r="A50" s="4" t="s">
        <v>71</v>
      </c>
      <c r="B50" s="7">
        <v>138</v>
      </c>
      <c r="C50" s="10">
        <v>4.4650079270068003E-3</v>
      </c>
      <c r="D50" s="7">
        <v>51881599</v>
      </c>
      <c r="E50" s="10">
        <v>3.0479477154717999E-3</v>
      </c>
      <c r="F50" s="7">
        <v>375953.615942</v>
      </c>
      <c r="G50" s="7">
        <v>97.840599999999995</v>
      </c>
      <c r="H50" s="10">
        <v>0.97223608480000001</v>
      </c>
      <c r="I50" s="7">
        <v>309999.5</v>
      </c>
      <c r="J50" s="7">
        <v>60</v>
      </c>
      <c r="K50" s="10">
        <v>0.98059300000000005</v>
      </c>
      <c r="L50" s="1"/>
    </row>
    <row r="51" spans="1:12" ht="15.6" x14ac:dyDescent="0.6">
      <c r="A51" s="5" t="s">
        <v>54</v>
      </c>
      <c r="B51" s="8">
        <v>135</v>
      </c>
      <c r="C51" s="11">
        <v>4.3679425372893004E-3</v>
      </c>
      <c r="D51" s="8">
        <v>52574599</v>
      </c>
      <c r="E51" s="11">
        <v>3.0886601801517E-3</v>
      </c>
      <c r="F51" s="8">
        <v>389441.47407400003</v>
      </c>
      <c r="G51" s="8">
        <v>37.5259</v>
      </c>
      <c r="H51" s="11">
        <v>0.99126528209999998</v>
      </c>
      <c r="I51" s="8">
        <v>355000</v>
      </c>
      <c r="J51" s="8">
        <v>15</v>
      </c>
      <c r="K51" s="11">
        <v>1</v>
      </c>
      <c r="L51" s="1"/>
    </row>
    <row r="52" spans="1:12" ht="15.6" x14ac:dyDescent="0.6">
      <c r="A52" s="4" t="s">
        <v>78</v>
      </c>
      <c r="B52" s="7">
        <v>123</v>
      </c>
      <c r="C52" s="10">
        <v>3.9796809784191003E-3</v>
      </c>
      <c r="D52" s="7">
        <v>24809451</v>
      </c>
      <c r="E52" s="10">
        <v>1.4575092316943001E-3</v>
      </c>
      <c r="F52" s="7">
        <v>201702.85365899999</v>
      </c>
      <c r="G52" s="7">
        <v>85.146299999999997</v>
      </c>
      <c r="H52" s="10">
        <v>0.97610472510000001</v>
      </c>
      <c r="I52" s="7">
        <v>180400</v>
      </c>
      <c r="J52" s="7">
        <v>49</v>
      </c>
      <c r="K52" s="10">
        <v>1</v>
      </c>
      <c r="L52" s="1"/>
    </row>
    <row r="53" spans="1:12" ht="15.6" x14ac:dyDescent="0.6">
      <c r="A53" s="5" t="s">
        <v>63</v>
      </c>
      <c r="B53" s="8">
        <v>121</v>
      </c>
      <c r="C53" s="11">
        <v>3.9149707186074004E-3</v>
      </c>
      <c r="D53" s="8">
        <v>43524013</v>
      </c>
      <c r="E53" s="11">
        <v>2.5569550389438998E-3</v>
      </c>
      <c r="F53" s="8">
        <v>359702.58677699999</v>
      </c>
      <c r="G53" s="8">
        <v>30.1983</v>
      </c>
      <c r="H53" s="11">
        <v>0.99859634630000005</v>
      </c>
      <c r="I53" s="8">
        <v>313035</v>
      </c>
      <c r="J53" s="8">
        <v>11</v>
      </c>
      <c r="K53" s="11">
        <v>1</v>
      </c>
      <c r="L53" s="1"/>
    </row>
    <row r="54" spans="1:12" ht="15.6" x14ac:dyDescent="0.6">
      <c r="A54" s="4" t="s">
        <v>51</v>
      </c>
      <c r="B54" s="7">
        <v>121</v>
      </c>
      <c r="C54" s="10">
        <v>3.9149707186074004E-3</v>
      </c>
      <c r="D54" s="7">
        <v>57559164</v>
      </c>
      <c r="E54" s="10">
        <v>3.3814941289351998E-3</v>
      </c>
      <c r="F54" s="7">
        <v>475695.57024799997</v>
      </c>
      <c r="G54" s="7">
        <v>37.776899999999998</v>
      </c>
      <c r="H54" s="10">
        <v>0.99758042410000003</v>
      </c>
      <c r="I54" s="7">
        <v>385000</v>
      </c>
      <c r="J54" s="7">
        <v>10</v>
      </c>
      <c r="K54" s="10">
        <v>1</v>
      </c>
      <c r="L54" s="1"/>
    </row>
    <row r="55" spans="1:12" ht="15.6" x14ac:dyDescent="0.6">
      <c r="A55" s="5" t="s">
        <v>60</v>
      </c>
      <c r="B55" s="8">
        <v>120</v>
      </c>
      <c r="C55" s="11">
        <v>3.8826155887015999E-3</v>
      </c>
      <c r="D55" s="8">
        <v>61278680</v>
      </c>
      <c r="E55" s="11">
        <v>3.6000087952787999E-3</v>
      </c>
      <c r="F55" s="8">
        <v>510655.66666699998</v>
      </c>
      <c r="G55" s="8">
        <v>15.466699999999999</v>
      </c>
      <c r="H55" s="11">
        <v>1.0051364860000001</v>
      </c>
      <c r="I55" s="8">
        <v>525000</v>
      </c>
      <c r="J55" s="8">
        <v>8</v>
      </c>
      <c r="K55" s="11">
        <v>1</v>
      </c>
      <c r="L55" s="1"/>
    </row>
    <row r="56" spans="1:12" ht="15.6" x14ac:dyDescent="0.6">
      <c r="A56" s="4" t="s">
        <v>56</v>
      </c>
      <c r="B56" s="7">
        <v>116</v>
      </c>
      <c r="C56" s="10">
        <v>3.7531950690782002E-3</v>
      </c>
      <c r="D56" s="7">
        <v>84498754</v>
      </c>
      <c r="E56" s="10">
        <v>4.9641450760705003E-3</v>
      </c>
      <c r="F56" s="7">
        <v>728437.53448300005</v>
      </c>
      <c r="G56" s="7">
        <v>35.991399999999999</v>
      </c>
      <c r="H56" s="10">
        <v>1.0152074087</v>
      </c>
      <c r="I56" s="7">
        <v>651625</v>
      </c>
      <c r="J56" s="7">
        <v>7</v>
      </c>
      <c r="K56" s="10">
        <v>1</v>
      </c>
      <c r="L56" s="1"/>
    </row>
    <row r="57" spans="1:12" ht="15.6" x14ac:dyDescent="0.6">
      <c r="A57" s="5" t="s">
        <v>66</v>
      </c>
      <c r="B57" s="8">
        <v>115</v>
      </c>
      <c r="C57" s="11">
        <v>3.7208399391724001E-3</v>
      </c>
      <c r="D57" s="8">
        <v>45375554</v>
      </c>
      <c r="E57" s="11">
        <v>2.6657296386058999E-3</v>
      </c>
      <c r="F57" s="8">
        <v>394570.03478300001</v>
      </c>
      <c r="G57" s="8">
        <v>67.121700000000004</v>
      </c>
      <c r="H57" s="11">
        <v>0.98761661619999996</v>
      </c>
      <c r="I57" s="8">
        <v>325000</v>
      </c>
      <c r="J57" s="8">
        <v>42</v>
      </c>
      <c r="K57" s="11">
        <v>1</v>
      </c>
      <c r="L57" s="1"/>
    </row>
    <row r="58" spans="1:12" ht="15.6" x14ac:dyDescent="0.6">
      <c r="A58" s="4" t="s">
        <v>73</v>
      </c>
      <c r="B58" s="7">
        <v>114</v>
      </c>
      <c r="C58" s="10">
        <v>3.6884848092664999E-3</v>
      </c>
      <c r="D58" s="7">
        <v>44080772</v>
      </c>
      <c r="E58" s="10">
        <v>2.5896635975625002E-3</v>
      </c>
      <c r="F58" s="7">
        <v>386673.43859600002</v>
      </c>
      <c r="G58" s="7">
        <v>25.798200000000001</v>
      </c>
      <c r="H58" s="10">
        <v>0.98656158540000005</v>
      </c>
      <c r="I58" s="7">
        <v>349975</v>
      </c>
      <c r="J58" s="7">
        <v>12</v>
      </c>
      <c r="K58" s="10">
        <v>1</v>
      </c>
      <c r="L58" s="1"/>
    </row>
    <row r="59" spans="1:12" ht="15.6" x14ac:dyDescent="0.6">
      <c r="A59" s="5" t="s">
        <v>55</v>
      </c>
      <c r="B59" s="8">
        <v>111</v>
      </c>
      <c r="C59" s="11">
        <v>3.5914194195489999E-3</v>
      </c>
      <c r="D59" s="8">
        <v>36679451</v>
      </c>
      <c r="E59" s="11">
        <v>2.1548497161819002E-3</v>
      </c>
      <c r="F59" s="8">
        <v>330445.50450500002</v>
      </c>
      <c r="G59" s="8">
        <v>26.063099999999999</v>
      </c>
      <c r="H59" s="11">
        <v>1.0080238117</v>
      </c>
      <c r="I59" s="8">
        <v>290000</v>
      </c>
      <c r="J59" s="8">
        <v>6</v>
      </c>
      <c r="K59" s="11">
        <v>1</v>
      </c>
      <c r="L59" s="1"/>
    </row>
    <row r="60" spans="1:12" ht="15.6" x14ac:dyDescent="0.6">
      <c r="A60" s="4" t="s">
        <v>68</v>
      </c>
      <c r="B60" s="7">
        <v>104</v>
      </c>
      <c r="C60" s="10">
        <v>3.3649335102080001E-3</v>
      </c>
      <c r="D60" s="7">
        <v>30234850</v>
      </c>
      <c r="E60" s="10">
        <v>1.7762413603545999E-3</v>
      </c>
      <c r="F60" s="7">
        <v>290719.71153799997</v>
      </c>
      <c r="G60" s="7">
        <v>32.528799999999997</v>
      </c>
      <c r="H60" s="10">
        <v>0.99103657310000004</v>
      </c>
      <c r="I60" s="7">
        <v>238000</v>
      </c>
      <c r="J60" s="7">
        <v>12</v>
      </c>
      <c r="K60" s="10">
        <v>1</v>
      </c>
      <c r="L60" s="1"/>
    </row>
    <row r="61" spans="1:12" ht="15.6" x14ac:dyDescent="0.6">
      <c r="A61" s="5" t="s">
        <v>83</v>
      </c>
      <c r="B61" s="8">
        <v>104</v>
      </c>
      <c r="C61" s="11">
        <v>3.3649335102080001E-3</v>
      </c>
      <c r="D61" s="8">
        <v>46841860</v>
      </c>
      <c r="E61" s="11">
        <v>2.7518723965206E-3</v>
      </c>
      <c r="F61" s="8">
        <v>450402.5</v>
      </c>
      <c r="G61" s="8">
        <v>75.394199999999998</v>
      </c>
      <c r="H61" s="11">
        <v>0.98027957529999998</v>
      </c>
      <c r="I61" s="8">
        <v>394995</v>
      </c>
      <c r="J61" s="8">
        <v>56.5</v>
      </c>
      <c r="K61" s="11">
        <v>0.99915949999999998</v>
      </c>
      <c r="L61" s="1"/>
    </row>
    <row r="62" spans="1:12" ht="15.6" x14ac:dyDescent="0.6">
      <c r="A62" s="4" t="s">
        <v>69</v>
      </c>
      <c r="B62" s="7">
        <v>98</v>
      </c>
      <c r="C62" s="10">
        <v>3.1708027307730002E-3</v>
      </c>
      <c r="D62" s="7">
        <v>57825124</v>
      </c>
      <c r="E62" s="10">
        <v>3.3971187856541001E-3</v>
      </c>
      <c r="F62" s="7">
        <v>590052.285714</v>
      </c>
      <c r="G62" s="7">
        <v>23.846900000000002</v>
      </c>
      <c r="H62" s="10">
        <v>1.0027534363999999</v>
      </c>
      <c r="I62" s="7">
        <v>494500</v>
      </c>
      <c r="J62" s="7">
        <v>8</v>
      </c>
      <c r="K62" s="10">
        <v>1</v>
      </c>
      <c r="L62" s="1"/>
    </row>
    <row r="63" spans="1:12" ht="15.6" x14ac:dyDescent="0.6">
      <c r="A63" s="5" t="s">
        <v>77</v>
      </c>
      <c r="B63" s="8">
        <v>96</v>
      </c>
      <c r="C63" s="11">
        <v>3.1060924709612999E-3</v>
      </c>
      <c r="D63" s="8">
        <v>41730752</v>
      </c>
      <c r="E63" s="11">
        <v>2.4516042811888001E-3</v>
      </c>
      <c r="F63" s="8">
        <v>434695.33333300002</v>
      </c>
      <c r="G63" s="8">
        <v>22.364599999999999</v>
      </c>
      <c r="H63" s="11">
        <v>0.99182296349999999</v>
      </c>
      <c r="I63" s="8">
        <v>389378</v>
      </c>
      <c r="J63" s="8">
        <v>8.5</v>
      </c>
      <c r="K63" s="11">
        <v>1</v>
      </c>
      <c r="L63" s="1"/>
    </row>
    <row r="64" spans="1:12" ht="15.6" x14ac:dyDescent="0.6">
      <c r="A64" s="4" t="s">
        <v>79</v>
      </c>
      <c r="B64" s="7">
        <v>93</v>
      </c>
      <c r="C64" s="10">
        <v>3.0090270812437002E-3</v>
      </c>
      <c r="D64" s="7">
        <v>23978500</v>
      </c>
      <c r="E64" s="10">
        <v>1.4086924016247001E-3</v>
      </c>
      <c r="F64" s="7">
        <v>257833.33333299999</v>
      </c>
      <c r="G64" s="7">
        <v>88.440899999999999</v>
      </c>
      <c r="H64" s="10">
        <v>0.95809515209999996</v>
      </c>
      <c r="I64" s="7">
        <v>215000</v>
      </c>
      <c r="J64" s="7">
        <v>71</v>
      </c>
      <c r="K64" s="10">
        <v>0.97608600000000001</v>
      </c>
      <c r="L64" s="1"/>
    </row>
    <row r="65" spans="1:12" ht="15.6" x14ac:dyDescent="0.6">
      <c r="A65" s="5" t="s">
        <v>75</v>
      </c>
      <c r="B65" s="8">
        <v>90</v>
      </c>
      <c r="C65" s="11">
        <v>2.9119616915261998E-3</v>
      </c>
      <c r="D65" s="8">
        <v>52682495</v>
      </c>
      <c r="E65" s="11">
        <v>3.0949988700348999E-3</v>
      </c>
      <c r="F65" s="8">
        <v>585361.05555599998</v>
      </c>
      <c r="G65" s="8">
        <v>26.8444</v>
      </c>
      <c r="H65" s="11">
        <v>0.99477392710000001</v>
      </c>
      <c r="I65" s="8">
        <v>474950</v>
      </c>
      <c r="J65" s="8">
        <v>8</v>
      </c>
      <c r="K65" s="11">
        <v>1</v>
      </c>
      <c r="L65" s="1"/>
    </row>
    <row r="66" spans="1:12" ht="15.6" x14ac:dyDescent="0.6">
      <c r="A66" s="4" t="s">
        <v>81</v>
      </c>
      <c r="B66" s="7">
        <v>87</v>
      </c>
      <c r="C66" s="10">
        <v>2.8148963018086999E-3</v>
      </c>
      <c r="D66" s="7">
        <v>23204229</v>
      </c>
      <c r="E66" s="10">
        <v>1.3632054164296999E-3</v>
      </c>
      <c r="F66" s="7">
        <v>266715.27586200001</v>
      </c>
      <c r="G66" s="7">
        <v>35.344799999999999</v>
      </c>
      <c r="H66" s="10">
        <v>0.98568293640000004</v>
      </c>
      <c r="I66" s="7">
        <v>250000</v>
      </c>
      <c r="J66" s="7">
        <v>14</v>
      </c>
      <c r="K66" s="10">
        <v>1</v>
      </c>
      <c r="L66" s="1"/>
    </row>
    <row r="67" spans="1:12" ht="15.6" x14ac:dyDescent="0.6">
      <c r="A67" s="5" t="s">
        <v>89</v>
      </c>
      <c r="B67" s="8">
        <v>87</v>
      </c>
      <c r="C67" s="11">
        <v>2.8148963018086999E-3</v>
      </c>
      <c r="D67" s="8">
        <v>72573589</v>
      </c>
      <c r="E67" s="11">
        <v>4.2635637501485003E-3</v>
      </c>
      <c r="F67" s="8">
        <v>834179.18390800001</v>
      </c>
      <c r="G67" s="8">
        <v>15.3908</v>
      </c>
      <c r="H67" s="11">
        <v>1.0150139142000001</v>
      </c>
      <c r="I67" s="8">
        <v>807000</v>
      </c>
      <c r="J67" s="8">
        <v>6</v>
      </c>
      <c r="K67" s="11">
        <v>1.00315</v>
      </c>
      <c r="L67" s="1"/>
    </row>
    <row r="68" spans="1:12" ht="15.6" x14ac:dyDescent="0.6">
      <c r="A68" s="4" t="s">
        <v>94</v>
      </c>
      <c r="B68" s="7">
        <v>86</v>
      </c>
      <c r="C68" s="10">
        <v>2.7825411719028001E-3</v>
      </c>
      <c r="D68" s="7">
        <v>38397465</v>
      </c>
      <c r="E68" s="10">
        <v>2.255779852249E-3</v>
      </c>
      <c r="F68" s="7">
        <v>446482.15116299997</v>
      </c>
      <c r="G68" s="7">
        <v>25.5349</v>
      </c>
      <c r="H68" s="10">
        <v>1.0016148851</v>
      </c>
      <c r="I68" s="7">
        <v>432432</v>
      </c>
      <c r="J68" s="7">
        <v>6</v>
      </c>
      <c r="K68" s="10">
        <v>1</v>
      </c>
      <c r="L68" s="1"/>
    </row>
    <row r="69" spans="1:12" ht="15.6" x14ac:dyDescent="0.6">
      <c r="A69" s="5" t="s">
        <v>59</v>
      </c>
      <c r="B69" s="8">
        <v>84</v>
      </c>
      <c r="C69" s="11">
        <v>2.7178309120911002E-3</v>
      </c>
      <c r="D69" s="8">
        <v>41572243</v>
      </c>
      <c r="E69" s="11">
        <v>2.4422921714284001E-3</v>
      </c>
      <c r="F69" s="8">
        <v>494907.65476200002</v>
      </c>
      <c r="G69" s="8">
        <v>29.547599999999999</v>
      </c>
      <c r="H69" s="11">
        <v>0.99818688639999997</v>
      </c>
      <c r="I69" s="8">
        <v>474750</v>
      </c>
      <c r="J69" s="8">
        <v>10</v>
      </c>
      <c r="K69" s="11">
        <v>1</v>
      </c>
      <c r="L69" s="1"/>
    </row>
    <row r="70" spans="1:12" ht="15.6" x14ac:dyDescent="0.6">
      <c r="A70" s="4" t="s">
        <v>80</v>
      </c>
      <c r="B70" s="7">
        <v>83</v>
      </c>
      <c r="C70" s="10">
        <v>2.6854757821853001E-3</v>
      </c>
      <c r="D70" s="7">
        <v>26762565</v>
      </c>
      <c r="E70" s="10">
        <v>1.572251056717E-3</v>
      </c>
      <c r="F70" s="7">
        <v>322440.54216900002</v>
      </c>
      <c r="G70" s="7">
        <v>28.759</v>
      </c>
      <c r="H70" s="10">
        <v>0.9907553295</v>
      </c>
      <c r="I70" s="7">
        <v>285000</v>
      </c>
      <c r="J70" s="7">
        <v>7</v>
      </c>
      <c r="K70" s="10">
        <v>1</v>
      </c>
      <c r="L70" s="1"/>
    </row>
    <row r="71" spans="1:12" ht="15.6" x14ac:dyDescent="0.6">
      <c r="A71" s="5" t="s">
        <v>112</v>
      </c>
      <c r="B71" s="8">
        <v>83</v>
      </c>
      <c r="C71" s="11">
        <v>2.6854757821853001E-3</v>
      </c>
      <c r="D71" s="8">
        <v>42407545</v>
      </c>
      <c r="E71" s="11">
        <v>2.4913646146780999E-3</v>
      </c>
      <c r="F71" s="8">
        <v>510934.27710800001</v>
      </c>
      <c r="G71" s="8">
        <v>31.795200000000001</v>
      </c>
      <c r="H71" s="11">
        <v>1.0063000992</v>
      </c>
      <c r="I71" s="8">
        <v>515000</v>
      </c>
      <c r="J71" s="8">
        <v>19</v>
      </c>
      <c r="K71" s="11">
        <v>1</v>
      </c>
      <c r="L71" s="1"/>
    </row>
    <row r="72" spans="1:12" ht="15.6" x14ac:dyDescent="0.6">
      <c r="A72" s="4" t="s">
        <v>61</v>
      </c>
      <c r="B72" s="7">
        <v>83</v>
      </c>
      <c r="C72" s="10">
        <v>2.6854757821853001E-3</v>
      </c>
      <c r="D72" s="7">
        <v>20276546</v>
      </c>
      <c r="E72" s="10">
        <v>1.1912094702085001E-3</v>
      </c>
      <c r="F72" s="7">
        <v>244295.73493999999</v>
      </c>
      <c r="G72" s="7">
        <v>28.8675</v>
      </c>
      <c r="H72" s="10">
        <v>1.0036952772000001</v>
      </c>
      <c r="I72" s="7">
        <v>242000</v>
      </c>
      <c r="J72" s="7">
        <v>9</v>
      </c>
      <c r="K72" s="10">
        <v>1.006834</v>
      </c>
      <c r="L72" s="1"/>
    </row>
    <row r="73" spans="1:12" ht="15.6" x14ac:dyDescent="0.6">
      <c r="A73" s="5" t="s">
        <v>74</v>
      </c>
      <c r="B73" s="8">
        <v>83</v>
      </c>
      <c r="C73" s="11">
        <v>2.6854757821853001E-3</v>
      </c>
      <c r="D73" s="8">
        <v>47746320</v>
      </c>
      <c r="E73" s="11">
        <v>2.8050077440015999E-3</v>
      </c>
      <c r="F73" s="8">
        <v>575256.86747000006</v>
      </c>
      <c r="G73" s="8">
        <v>68.843400000000003</v>
      </c>
      <c r="H73" s="11">
        <v>0.98221158949999998</v>
      </c>
      <c r="I73" s="8">
        <v>362900</v>
      </c>
      <c r="J73" s="8">
        <v>49</v>
      </c>
      <c r="K73" s="11">
        <v>1</v>
      </c>
      <c r="L73" s="1"/>
    </row>
    <row r="74" spans="1:12" ht="15.6" x14ac:dyDescent="0.6">
      <c r="A74" s="4" t="s">
        <v>76</v>
      </c>
      <c r="B74" s="7">
        <v>82</v>
      </c>
      <c r="C74" s="10">
        <v>2.6531206522793999E-3</v>
      </c>
      <c r="D74" s="7">
        <v>30210839</v>
      </c>
      <c r="E74" s="10">
        <v>1.7748307586383E-3</v>
      </c>
      <c r="F74" s="7">
        <v>368424.86585399997</v>
      </c>
      <c r="G74" s="7">
        <v>22.622</v>
      </c>
      <c r="H74" s="10">
        <v>0.99717593270000005</v>
      </c>
      <c r="I74" s="7">
        <v>370000</v>
      </c>
      <c r="J74" s="7">
        <v>9</v>
      </c>
      <c r="K74" s="10">
        <v>1</v>
      </c>
      <c r="L74" s="1"/>
    </row>
    <row r="75" spans="1:12" ht="15.6" x14ac:dyDescent="0.6">
      <c r="A75" s="5" t="s">
        <v>70</v>
      </c>
      <c r="B75" s="8">
        <v>82</v>
      </c>
      <c r="C75" s="11">
        <v>2.6531206522793999E-3</v>
      </c>
      <c r="D75" s="8">
        <v>25271260</v>
      </c>
      <c r="E75" s="11">
        <v>1.4846396539184E-3</v>
      </c>
      <c r="F75" s="8">
        <v>308186.09756099997</v>
      </c>
      <c r="G75" s="8">
        <v>28.122</v>
      </c>
      <c r="H75" s="11">
        <v>1.0022104600999999</v>
      </c>
      <c r="I75" s="8">
        <v>303500</v>
      </c>
      <c r="J75" s="8">
        <v>10.5</v>
      </c>
      <c r="K75" s="11">
        <v>1</v>
      </c>
      <c r="L75" s="1"/>
    </row>
    <row r="76" spans="1:12" ht="15.6" x14ac:dyDescent="0.6">
      <c r="A76" s="4" t="s">
        <v>110</v>
      </c>
      <c r="B76" s="7">
        <v>81</v>
      </c>
      <c r="C76" s="10">
        <v>2.6207655223735998E-3</v>
      </c>
      <c r="D76" s="7">
        <v>17547191</v>
      </c>
      <c r="E76" s="10">
        <v>1.0308649261446001E-3</v>
      </c>
      <c r="F76" s="7">
        <v>216631.987654</v>
      </c>
      <c r="G76" s="7">
        <v>86.172799999999995</v>
      </c>
      <c r="H76" s="10">
        <v>0.95766689530000004</v>
      </c>
      <c r="I76" s="7">
        <v>208900</v>
      </c>
      <c r="J76" s="7">
        <v>49</v>
      </c>
      <c r="K76" s="10">
        <v>0.98087000000000002</v>
      </c>
      <c r="L76" s="1"/>
    </row>
    <row r="77" spans="1:12" ht="15.6" x14ac:dyDescent="0.6">
      <c r="A77" s="5" t="s">
        <v>64</v>
      </c>
      <c r="B77" s="8">
        <v>81</v>
      </c>
      <c r="C77" s="11">
        <v>2.6207655223735998E-3</v>
      </c>
      <c r="D77" s="8">
        <v>29468769</v>
      </c>
      <c r="E77" s="11">
        <v>1.7312355224695E-3</v>
      </c>
      <c r="F77" s="8">
        <v>363811.962963</v>
      </c>
      <c r="G77" s="8">
        <v>53.975299999999997</v>
      </c>
      <c r="H77" s="11">
        <v>0.9923763377</v>
      </c>
      <c r="I77" s="8">
        <v>369950</v>
      </c>
      <c r="J77" s="8">
        <v>16</v>
      </c>
      <c r="K77" s="11">
        <v>1</v>
      </c>
      <c r="L77" s="1"/>
    </row>
    <row r="78" spans="1:12" ht="15.6" x14ac:dyDescent="0.6">
      <c r="A78" s="4" t="s">
        <v>91</v>
      </c>
      <c r="B78" s="7">
        <v>79</v>
      </c>
      <c r="C78" s="10">
        <v>2.5560552625619E-3</v>
      </c>
      <c r="D78" s="7">
        <v>19497249</v>
      </c>
      <c r="E78" s="10">
        <v>1.1454272168353E-3</v>
      </c>
      <c r="F78" s="7">
        <v>246800.620253</v>
      </c>
      <c r="G78" s="7">
        <v>101.18989999999999</v>
      </c>
      <c r="H78" s="10">
        <v>0.96866770980000005</v>
      </c>
      <c r="I78" s="7">
        <v>195000</v>
      </c>
      <c r="J78" s="7">
        <v>76</v>
      </c>
      <c r="K78" s="10">
        <v>0.98064499999999999</v>
      </c>
      <c r="L78" s="1"/>
    </row>
    <row r="79" spans="1:12" ht="15.6" x14ac:dyDescent="0.6">
      <c r="A79" s="5" t="s">
        <v>67</v>
      </c>
      <c r="B79" s="8">
        <v>74</v>
      </c>
      <c r="C79" s="11">
        <v>2.3942796130326E-3</v>
      </c>
      <c r="D79" s="8">
        <v>27732280</v>
      </c>
      <c r="E79" s="11">
        <v>1.6292200144182999E-3</v>
      </c>
      <c r="F79" s="8">
        <v>374760.54054100002</v>
      </c>
      <c r="G79" s="8">
        <v>41.945900000000002</v>
      </c>
      <c r="H79" s="11">
        <v>0.98908557279999998</v>
      </c>
      <c r="I79" s="8">
        <v>321950</v>
      </c>
      <c r="J79" s="8">
        <v>13.5</v>
      </c>
      <c r="K79" s="11">
        <v>1</v>
      </c>
      <c r="L79" s="1"/>
    </row>
    <row r="80" spans="1:12" ht="15.6" x14ac:dyDescent="0.6">
      <c r="A80" s="4" t="s">
        <v>84</v>
      </c>
      <c r="B80" s="7">
        <v>72</v>
      </c>
      <c r="C80" s="10">
        <v>2.3295693532209998E-3</v>
      </c>
      <c r="D80" s="7">
        <v>37132975</v>
      </c>
      <c r="E80" s="10">
        <v>2.1814934100224002E-3</v>
      </c>
      <c r="F80" s="7">
        <v>515735.76388899999</v>
      </c>
      <c r="G80" s="7">
        <v>74.027799999999999</v>
      </c>
      <c r="H80" s="10">
        <v>1.0015292323</v>
      </c>
      <c r="I80" s="7">
        <v>415000</v>
      </c>
      <c r="J80" s="7">
        <v>61.5</v>
      </c>
      <c r="K80" s="10">
        <v>0.98875999999999997</v>
      </c>
      <c r="L80" s="1"/>
    </row>
    <row r="81" spans="1:12" ht="15.6" x14ac:dyDescent="0.6">
      <c r="A81" s="5" t="s">
        <v>82</v>
      </c>
      <c r="B81" s="8">
        <v>71</v>
      </c>
      <c r="C81" s="11">
        <v>2.2972142233151E-3</v>
      </c>
      <c r="D81" s="8">
        <v>20748250</v>
      </c>
      <c r="E81" s="11">
        <v>1.2189212053302001E-3</v>
      </c>
      <c r="F81" s="8">
        <v>292228.87323899998</v>
      </c>
      <c r="G81" s="8">
        <v>22.366199999999999</v>
      </c>
      <c r="H81" s="11">
        <v>0.99862083670000001</v>
      </c>
      <c r="I81" s="8">
        <v>287000</v>
      </c>
      <c r="J81" s="8">
        <v>11</v>
      </c>
      <c r="K81" s="11">
        <v>1</v>
      </c>
      <c r="L81" s="1"/>
    </row>
    <row r="82" spans="1:12" ht="15.6" x14ac:dyDescent="0.6">
      <c r="A82" s="4" t="s">
        <v>85</v>
      </c>
      <c r="B82" s="7">
        <v>69</v>
      </c>
      <c r="C82" s="10">
        <v>2.2325039635034002E-3</v>
      </c>
      <c r="D82" s="7">
        <v>17884750</v>
      </c>
      <c r="E82" s="10">
        <v>1.0506958913175999E-3</v>
      </c>
      <c r="F82" s="7">
        <v>259199.27536199999</v>
      </c>
      <c r="G82" s="7">
        <v>83.217399999999998</v>
      </c>
      <c r="H82" s="10">
        <v>0.96148281690000004</v>
      </c>
      <c r="I82" s="7">
        <v>235000</v>
      </c>
      <c r="J82" s="7">
        <v>62</v>
      </c>
      <c r="K82" s="10">
        <v>0.978213</v>
      </c>
      <c r="L82" s="1"/>
    </row>
    <row r="83" spans="1:12" ht="15.6" x14ac:dyDescent="0.6">
      <c r="A83" s="5" t="s">
        <v>65</v>
      </c>
      <c r="B83" s="8">
        <v>67</v>
      </c>
      <c r="C83" s="11">
        <v>2.1677937036916999E-3</v>
      </c>
      <c r="D83" s="8">
        <v>32607400</v>
      </c>
      <c r="E83" s="11">
        <v>1.9156242724415E-3</v>
      </c>
      <c r="F83" s="8">
        <v>486677.61193999997</v>
      </c>
      <c r="G83" s="8">
        <v>33.4328</v>
      </c>
      <c r="H83" s="11">
        <v>0.97541458410000004</v>
      </c>
      <c r="I83" s="8">
        <v>435000</v>
      </c>
      <c r="J83" s="8">
        <v>14</v>
      </c>
      <c r="K83" s="11">
        <v>0.97882400000000003</v>
      </c>
      <c r="L83" s="1"/>
    </row>
    <row r="84" spans="1:12" ht="15.6" x14ac:dyDescent="0.6">
      <c r="A84" s="4" t="s">
        <v>62</v>
      </c>
      <c r="B84" s="7">
        <v>66</v>
      </c>
      <c r="C84" s="10">
        <v>2.1354385737858998E-3</v>
      </c>
      <c r="D84" s="7">
        <v>22582165</v>
      </c>
      <c r="E84" s="10">
        <v>1.3266603101835001E-3</v>
      </c>
      <c r="F84" s="7">
        <v>342154.01515200001</v>
      </c>
      <c r="G84" s="7">
        <v>11.1515</v>
      </c>
      <c r="H84" s="10">
        <v>1.0097631361999999</v>
      </c>
      <c r="I84" s="7">
        <v>301250</v>
      </c>
      <c r="J84" s="7">
        <v>4.5</v>
      </c>
      <c r="K84" s="10">
        <v>1.0033190000000001</v>
      </c>
      <c r="L84" s="1"/>
    </row>
    <row r="85" spans="1:12" ht="15.6" x14ac:dyDescent="0.6">
      <c r="A85" s="5" t="s">
        <v>121</v>
      </c>
      <c r="B85" s="8">
        <v>61</v>
      </c>
      <c r="C85" s="11">
        <v>1.9736629242565998E-3</v>
      </c>
      <c r="D85" s="8">
        <v>13749327</v>
      </c>
      <c r="E85" s="11">
        <v>8.0774746011443E-4</v>
      </c>
      <c r="F85" s="8">
        <v>225398.80327900001</v>
      </c>
      <c r="G85" s="8">
        <v>85.295100000000005</v>
      </c>
      <c r="H85" s="11">
        <v>0.95652652049999998</v>
      </c>
      <c r="I85" s="8">
        <v>215000</v>
      </c>
      <c r="J85" s="8">
        <v>61</v>
      </c>
      <c r="K85" s="11">
        <v>0.968387</v>
      </c>
      <c r="L85" s="1"/>
    </row>
    <row r="86" spans="1:12" ht="15.6" x14ac:dyDescent="0.6">
      <c r="A86" s="4" t="s">
        <v>96</v>
      </c>
      <c r="B86" s="7">
        <v>60</v>
      </c>
      <c r="C86" s="10">
        <v>1.9413077943508E-3</v>
      </c>
      <c r="D86" s="7">
        <v>30597584</v>
      </c>
      <c r="E86" s="10">
        <v>1.7975513100851001E-3</v>
      </c>
      <c r="F86" s="7">
        <v>509959.73333299998</v>
      </c>
      <c r="G86" s="7">
        <v>48.4</v>
      </c>
      <c r="H86" s="10">
        <v>0.99198557350000005</v>
      </c>
      <c r="I86" s="7">
        <v>392852.5</v>
      </c>
      <c r="J86" s="7">
        <v>34.5</v>
      </c>
      <c r="K86" s="10">
        <v>1</v>
      </c>
      <c r="L86" s="1"/>
    </row>
    <row r="87" spans="1:12" ht="15.6" x14ac:dyDescent="0.6">
      <c r="A87" s="5" t="s">
        <v>100</v>
      </c>
      <c r="B87" s="8">
        <v>59</v>
      </c>
      <c r="C87" s="11">
        <v>1.9089526644448999E-3</v>
      </c>
      <c r="D87" s="8">
        <v>14835882</v>
      </c>
      <c r="E87" s="11">
        <v>8.7158055111042005E-4</v>
      </c>
      <c r="F87" s="8">
        <v>251455.62711900001</v>
      </c>
      <c r="G87" s="8">
        <v>44.949199999999998</v>
      </c>
      <c r="H87" s="11">
        <v>0.97118064699999995</v>
      </c>
      <c r="I87" s="8">
        <v>224950</v>
      </c>
      <c r="J87" s="8">
        <v>24</v>
      </c>
      <c r="K87" s="11">
        <v>1</v>
      </c>
      <c r="L87" s="1"/>
    </row>
    <row r="88" spans="1:12" ht="15.6" x14ac:dyDescent="0.6">
      <c r="A88" s="4" t="s">
        <v>87</v>
      </c>
      <c r="B88" s="7">
        <v>59</v>
      </c>
      <c r="C88" s="10">
        <v>1.9089526644448999E-3</v>
      </c>
      <c r="D88" s="7">
        <v>26956780</v>
      </c>
      <c r="E88" s="10">
        <v>1.5836608277528001E-3</v>
      </c>
      <c r="F88" s="7">
        <v>456894.57627100003</v>
      </c>
      <c r="G88" s="7">
        <v>18.898299999999999</v>
      </c>
      <c r="H88" s="10">
        <v>0.99331838530000005</v>
      </c>
      <c r="I88" s="7">
        <v>384990</v>
      </c>
      <c r="J88" s="7">
        <v>9</v>
      </c>
      <c r="K88" s="10">
        <v>1</v>
      </c>
      <c r="L88" s="1"/>
    </row>
    <row r="89" spans="1:12" ht="15.6" x14ac:dyDescent="0.6">
      <c r="A89" s="5" t="s">
        <v>114</v>
      </c>
      <c r="B89" s="8">
        <v>59</v>
      </c>
      <c r="C89" s="11">
        <v>1.9089526644448999E-3</v>
      </c>
      <c r="D89" s="8">
        <v>74915611</v>
      </c>
      <c r="E89" s="11">
        <v>4.4011531988562003E-3</v>
      </c>
      <c r="F89" s="8">
        <v>1269756.118644</v>
      </c>
      <c r="G89" s="8">
        <v>19</v>
      </c>
      <c r="H89" s="11">
        <v>1.0288204043</v>
      </c>
      <c r="I89" s="8">
        <v>1124362</v>
      </c>
      <c r="J89" s="8">
        <v>5</v>
      </c>
      <c r="K89" s="11">
        <v>1</v>
      </c>
      <c r="L89" s="1"/>
    </row>
    <row r="90" spans="1:12" ht="15.6" x14ac:dyDescent="0.6">
      <c r="A90" s="4" t="s">
        <v>86</v>
      </c>
      <c r="B90" s="7">
        <v>59</v>
      </c>
      <c r="C90" s="10">
        <v>1.9089526644448999E-3</v>
      </c>
      <c r="D90" s="7">
        <v>16762450</v>
      </c>
      <c r="E90" s="10">
        <v>9.8476284786847999E-4</v>
      </c>
      <c r="F90" s="7">
        <v>284109.32203400001</v>
      </c>
      <c r="G90" s="7">
        <v>93.423699999999997</v>
      </c>
      <c r="H90" s="10">
        <v>0.9774755383</v>
      </c>
      <c r="I90" s="7">
        <v>275000</v>
      </c>
      <c r="J90" s="7">
        <v>30</v>
      </c>
      <c r="K90" s="10">
        <v>1</v>
      </c>
      <c r="L90" s="1"/>
    </row>
    <row r="91" spans="1:12" ht="15.6" x14ac:dyDescent="0.6">
      <c r="A91" s="5" t="s">
        <v>97</v>
      </c>
      <c r="B91" s="8">
        <v>57</v>
      </c>
      <c r="C91" s="11">
        <v>1.8442424046333E-3</v>
      </c>
      <c r="D91" s="8">
        <v>18726919</v>
      </c>
      <c r="E91" s="11">
        <v>1.1001717580809E-3</v>
      </c>
      <c r="F91" s="8">
        <v>328542.43859600002</v>
      </c>
      <c r="G91" s="8">
        <v>88.719300000000004</v>
      </c>
      <c r="H91" s="11">
        <v>0.96690155349999996</v>
      </c>
      <c r="I91" s="8">
        <v>309900</v>
      </c>
      <c r="J91" s="8">
        <v>64</v>
      </c>
      <c r="K91" s="11">
        <v>0.98100799999999999</v>
      </c>
      <c r="L91" s="1"/>
    </row>
    <row r="92" spans="1:12" ht="15.6" x14ac:dyDescent="0.6">
      <c r="A92" s="4" t="s">
        <v>72</v>
      </c>
      <c r="B92" s="7">
        <v>57</v>
      </c>
      <c r="C92" s="10">
        <v>1.8442424046333E-3</v>
      </c>
      <c r="D92" s="7">
        <v>10696902</v>
      </c>
      <c r="E92" s="10">
        <v>6.2842315275452997E-4</v>
      </c>
      <c r="F92" s="7">
        <v>187664.94736799999</v>
      </c>
      <c r="G92" s="7">
        <v>74.315799999999996</v>
      </c>
      <c r="H92" s="10">
        <v>0.97183076430000004</v>
      </c>
      <c r="I92" s="7">
        <v>165000</v>
      </c>
      <c r="J92" s="7">
        <v>50</v>
      </c>
      <c r="K92" s="10">
        <v>0.972194</v>
      </c>
      <c r="L92" s="1"/>
    </row>
    <row r="93" spans="1:12" ht="15.6" x14ac:dyDescent="0.6">
      <c r="A93" s="5" t="s">
        <v>155</v>
      </c>
      <c r="B93" s="8">
        <v>56</v>
      </c>
      <c r="C93" s="11">
        <v>1.8118872747274E-3</v>
      </c>
      <c r="D93" s="8">
        <v>9021800</v>
      </c>
      <c r="E93" s="11">
        <v>5.3001401709773001E-4</v>
      </c>
      <c r="F93" s="8">
        <v>161103.571429</v>
      </c>
      <c r="G93" s="8">
        <v>106.16070000000001</v>
      </c>
      <c r="H93" s="11">
        <v>0.93079621589999995</v>
      </c>
      <c r="I93" s="8">
        <v>135000</v>
      </c>
      <c r="J93" s="8">
        <v>66</v>
      </c>
      <c r="K93" s="11">
        <v>0.945191</v>
      </c>
      <c r="L93" s="1"/>
    </row>
    <row r="94" spans="1:12" ht="15.6" x14ac:dyDescent="0.6">
      <c r="A94" s="4" t="s">
        <v>93</v>
      </c>
      <c r="B94" s="7">
        <v>55</v>
      </c>
      <c r="C94" s="10">
        <v>1.7795321448215999E-3</v>
      </c>
      <c r="D94" s="7">
        <v>10391972</v>
      </c>
      <c r="E94" s="10">
        <v>6.1050908081394003E-4</v>
      </c>
      <c r="F94" s="7">
        <v>188944.94545500001</v>
      </c>
      <c r="G94" s="7">
        <v>78.2</v>
      </c>
      <c r="H94" s="10">
        <v>0.94027379160000002</v>
      </c>
      <c r="I94" s="7">
        <v>162000</v>
      </c>
      <c r="J94" s="7">
        <v>65</v>
      </c>
      <c r="K94" s="10">
        <v>0.97499999999999998</v>
      </c>
      <c r="L94" s="1"/>
    </row>
    <row r="95" spans="1:12" ht="15.6" x14ac:dyDescent="0.6">
      <c r="A95" s="5" t="s">
        <v>103</v>
      </c>
      <c r="B95" s="8">
        <v>55</v>
      </c>
      <c r="C95" s="11">
        <v>1.7795321448215999E-3</v>
      </c>
      <c r="D95" s="8">
        <v>21908809</v>
      </c>
      <c r="E95" s="11">
        <v>1.2871018940696E-3</v>
      </c>
      <c r="F95" s="8">
        <v>398341.98181799997</v>
      </c>
      <c r="G95" s="8">
        <v>23.2727</v>
      </c>
      <c r="H95" s="11">
        <v>0.99363989279999998</v>
      </c>
      <c r="I95" s="8">
        <v>360000</v>
      </c>
      <c r="J95" s="8">
        <v>10</v>
      </c>
      <c r="K95" s="11">
        <v>1</v>
      </c>
      <c r="L95" s="1"/>
    </row>
    <row r="96" spans="1:12" ht="15.6" x14ac:dyDescent="0.6">
      <c r="A96" s="4" t="s">
        <v>106</v>
      </c>
      <c r="B96" s="7">
        <v>54</v>
      </c>
      <c r="C96" s="10">
        <v>1.7471770149156999E-3</v>
      </c>
      <c r="D96" s="7">
        <v>15292800</v>
      </c>
      <c r="E96" s="10">
        <v>8.9842363615600003E-4</v>
      </c>
      <c r="F96" s="7">
        <v>283200</v>
      </c>
      <c r="G96" s="7">
        <v>33.907400000000003</v>
      </c>
      <c r="H96" s="10">
        <v>1.005656243</v>
      </c>
      <c r="I96" s="7">
        <v>289950</v>
      </c>
      <c r="J96" s="7">
        <v>19</v>
      </c>
      <c r="K96" s="10">
        <v>1</v>
      </c>
      <c r="L96" s="1"/>
    </row>
    <row r="97" spans="1:12" ht="15.6" x14ac:dyDescent="0.6">
      <c r="A97" s="5" t="s">
        <v>88</v>
      </c>
      <c r="B97" s="8">
        <v>53</v>
      </c>
      <c r="C97" s="11">
        <v>1.7148218850099001E-3</v>
      </c>
      <c r="D97" s="8">
        <v>8659000</v>
      </c>
      <c r="E97" s="11">
        <v>5.0870018998971998E-4</v>
      </c>
      <c r="F97" s="8">
        <v>163377.35849099999</v>
      </c>
      <c r="G97" s="8">
        <v>111.86790000000001</v>
      </c>
      <c r="H97" s="11">
        <v>0.92487763180000004</v>
      </c>
      <c r="I97" s="8">
        <v>156500</v>
      </c>
      <c r="J97" s="8">
        <v>65</v>
      </c>
      <c r="K97" s="11">
        <v>0.94736799999999999</v>
      </c>
      <c r="L97" s="1"/>
    </row>
    <row r="98" spans="1:12" ht="15.6" x14ac:dyDescent="0.6">
      <c r="A98" s="4" t="s">
        <v>109</v>
      </c>
      <c r="B98" s="7">
        <v>53</v>
      </c>
      <c r="C98" s="10">
        <v>1.7148218850099001E-3</v>
      </c>
      <c r="D98" s="7">
        <v>27614223</v>
      </c>
      <c r="E98" s="10">
        <v>1.6222843846308999E-3</v>
      </c>
      <c r="F98" s="7">
        <v>521023.075472</v>
      </c>
      <c r="G98" s="7">
        <v>19.981100000000001</v>
      </c>
      <c r="H98" s="10">
        <v>1.0055252096</v>
      </c>
      <c r="I98" s="7">
        <v>509000</v>
      </c>
      <c r="J98" s="7">
        <v>9</v>
      </c>
      <c r="K98" s="10">
        <v>1.0001720000000001</v>
      </c>
      <c r="L98" s="1"/>
    </row>
    <row r="99" spans="1:12" ht="15.6" x14ac:dyDescent="0.6">
      <c r="A99" s="5" t="s">
        <v>104</v>
      </c>
      <c r="B99" s="8">
        <v>51</v>
      </c>
      <c r="C99" s="11">
        <v>1.6501116251982E-3</v>
      </c>
      <c r="D99" s="8">
        <v>13079770</v>
      </c>
      <c r="E99" s="11">
        <v>7.6841222820440004E-4</v>
      </c>
      <c r="F99" s="8">
        <v>256466.078431</v>
      </c>
      <c r="G99" s="8">
        <v>66.117599999999996</v>
      </c>
      <c r="H99" s="11">
        <v>0.97959418870000003</v>
      </c>
      <c r="I99" s="8">
        <v>270000</v>
      </c>
      <c r="J99" s="8">
        <v>58</v>
      </c>
      <c r="K99" s="11">
        <v>1</v>
      </c>
      <c r="L99" s="1"/>
    </row>
    <row r="100" spans="1:12" ht="15.6" x14ac:dyDescent="0.6">
      <c r="A100" s="4" t="s">
        <v>90</v>
      </c>
      <c r="B100" s="7">
        <v>50</v>
      </c>
      <c r="C100" s="10">
        <v>1.6177564952922999E-3</v>
      </c>
      <c r="D100" s="7">
        <v>23120881</v>
      </c>
      <c r="E100" s="10">
        <v>1.3583088760168E-3</v>
      </c>
      <c r="F100" s="7">
        <v>462417.62</v>
      </c>
      <c r="G100" s="7">
        <v>102.72</v>
      </c>
      <c r="H100" s="10">
        <v>0.95642362449999996</v>
      </c>
      <c r="I100" s="7">
        <v>415000</v>
      </c>
      <c r="J100" s="7">
        <v>51</v>
      </c>
      <c r="K100" s="10">
        <v>0.98751100000000003</v>
      </c>
      <c r="L100" s="1"/>
    </row>
    <row r="101" spans="1:12" ht="15.6" x14ac:dyDescent="0.6">
      <c r="A101" s="5" t="s">
        <v>98</v>
      </c>
      <c r="B101" s="8">
        <v>50</v>
      </c>
      <c r="C101" s="11">
        <v>1.6177564952922999E-3</v>
      </c>
      <c r="D101" s="8">
        <v>15482600</v>
      </c>
      <c r="E101" s="11">
        <v>9.0957403413036999E-4</v>
      </c>
      <c r="F101" s="8">
        <v>309652</v>
      </c>
      <c r="G101" s="8">
        <v>45.22</v>
      </c>
      <c r="H101" s="11">
        <v>0.98977266100000005</v>
      </c>
      <c r="I101" s="8">
        <v>278000</v>
      </c>
      <c r="J101" s="8">
        <v>27</v>
      </c>
      <c r="K101" s="11">
        <v>1</v>
      </c>
      <c r="L101" s="1"/>
    </row>
    <row r="102" spans="1:12" ht="15.6" x14ac:dyDescent="0.6">
      <c r="A102" s="4" t="s">
        <v>111</v>
      </c>
      <c r="B102" s="7">
        <v>49</v>
      </c>
      <c r="C102" s="10">
        <v>1.5854013653865001E-3</v>
      </c>
      <c r="D102" s="7">
        <v>16914776</v>
      </c>
      <c r="E102" s="10">
        <v>9.937117178465901E-4</v>
      </c>
      <c r="F102" s="7">
        <v>345199.51020399999</v>
      </c>
      <c r="G102" s="7">
        <v>93.163300000000007</v>
      </c>
      <c r="H102" s="10">
        <v>0.96056586960000001</v>
      </c>
      <c r="I102" s="7">
        <v>310000</v>
      </c>
      <c r="J102" s="7">
        <v>38</v>
      </c>
      <c r="K102" s="10">
        <v>1</v>
      </c>
      <c r="L102" s="1"/>
    </row>
    <row r="103" spans="1:12" ht="15.6" x14ac:dyDescent="0.6">
      <c r="A103" s="5" t="s">
        <v>99</v>
      </c>
      <c r="B103" s="8">
        <v>47</v>
      </c>
      <c r="C103" s="11">
        <v>1.5206911055748E-3</v>
      </c>
      <c r="D103" s="8">
        <v>12069800</v>
      </c>
      <c r="E103" s="11">
        <v>7.0907836391476001E-4</v>
      </c>
      <c r="F103" s="8">
        <v>256804.25531899999</v>
      </c>
      <c r="G103" s="8">
        <v>115.46810000000001</v>
      </c>
      <c r="H103" s="11">
        <v>0.94014725180000003</v>
      </c>
      <c r="I103" s="8">
        <v>235000</v>
      </c>
      <c r="J103" s="8">
        <v>76</v>
      </c>
      <c r="K103" s="11">
        <v>0.97777800000000004</v>
      </c>
      <c r="L103" s="1"/>
    </row>
    <row r="104" spans="1:12" ht="15.6" x14ac:dyDescent="0.6">
      <c r="A104" s="4" t="s">
        <v>95</v>
      </c>
      <c r="B104" s="7">
        <v>47</v>
      </c>
      <c r="C104" s="10">
        <v>1.5206911055748E-3</v>
      </c>
      <c r="D104" s="7">
        <v>31585700</v>
      </c>
      <c r="E104" s="10">
        <v>1.8556012924077E-3</v>
      </c>
      <c r="F104" s="7">
        <v>672036.17021300003</v>
      </c>
      <c r="G104" s="7">
        <v>20.893599999999999</v>
      </c>
      <c r="H104" s="10">
        <v>0.99635018809999998</v>
      </c>
      <c r="I104" s="7">
        <v>600000</v>
      </c>
      <c r="J104" s="7">
        <v>9</v>
      </c>
      <c r="K104" s="10">
        <v>1</v>
      </c>
      <c r="L104" s="1"/>
    </row>
    <row r="105" spans="1:12" ht="15.6" x14ac:dyDescent="0.6">
      <c r="A105" s="5" t="s">
        <v>102</v>
      </c>
      <c r="B105" s="8">
        <v>45</v>
      </c>
      <c r="C105" s="11">
        <v>1.4559808457630999E-3</v>
      </c>
      <c r="D105" s="8">
        <v>10961300</v>
      </c>
      <c r="E105" s="11">
        <v>6.4395604487058002E-4</v>
      </c>
      <c r="F105" s="8">
        <v>243584.44444399999</v>
      </c>
      <c r="G105" s="8">
        <v>55.977800000000002</v>
      </c>
      <c r="H105" s="11">
        <v>0.97275833700000003</v>
      </c>
      <c r="I105" s="8">
        <v>250000</v>
      </c>
      <c r="J105" s="8">
        <v>23</v>
      </c>
      <c r="K105" s="11">
        <v>1</v>
      </c>
      <c r="L105" s="1"/>
    </row>
    <row r="106" spans="1:12" ht="15.6" x14ac:dyDescent="0.6">
      <c r="A106" s="4" t="s">
        <v>113</v>
      </c>
      <c r="B106" s="7">
        <v>43</v>
      </c>
      <c r="C106" s="10">
        <v>1.3912705859514E-3</v>
      </c>
      <c r="D106" s="7">
        <v>22273290</v>
      </c>
      <c r="E106" s="10">
        <v>1.3085144768098E-3</v>
      </c>
      <c r="F106" s="7">
        <v>517983.48837199999</v>
      </c>
      <c r="G106" s="7">
        <v>27.162800000000001</v>
      </c>
      <c r="H106" s="10">
        <v>1.0038786315999999</v>
      </c>
      <c r="I106" s="7">
        <v>425000</v>
      </c>
      <c r="J106" s="7">
        <v>16</v>
      </c>
      <c r="K106" s="10">
        <v>1</v>
      </c>
      <c r="L106" s="1"/>
    </row>
    <row r="107" spans="1:12" ht="15.6" x14ac:dyDescent="0.6">
      <c r="A107" s="5" t="s">
        <v>122</v>
      </c>
      <c r="B107" s="8">
        <v>42</v>
      </c>
      <c r="C107" s="11">
        <v>1.3589154560456E-3</v>
      </c>
      <c r="D107" s="8">
        <v>18554200</v>
      </c>
      <c r="E107" s="11">
        <v>1.0900248371759999E-3</v>
      </c>
      <c r="F107" s="8">
        <v>441766.66666699998</v>
      </c>
      <c r="G107" s="8">
        <v>43.3095</v>
      </c>
      <c r="H107" s="11">
        <v>0.98254120879999995</v>
      </c>
      <c r="I107" s="8">
        <v>334950</v>
      </c>
      <c r="J107" s="8">
        <v>21</v>
      </c>
      <c r="K107" s="11">
        <v>1</v>
      </c>
      <c r="L107" s="1"/>
    </row>
    <row r="108" spans="1:12" ht="15.6" x14ac:dyDescent="0.6">
      <c r="A108" s="4" t="s">
        <v>156</v>
      </c>
      <c r="B108" s="7">
        <v>38</v>
      </c>
      <c r="C108" s="10">
        <v>1.2294949364222E-3</v>
      </c>
      <c r="D108" s="7">
        <v>9456000</v>
      </c>
      <c r="E108" s="10">
        <v>5.5552246177881996E-4</v>
      </c>
      <c r="F108" s="7">
        <v>248842.105263</v>
      </c>
      <c r="G108" s="7">
        <v>134.9211</v>
      </c>
      <c r="H108" s="10">
        <v>0.95472472009999998</v>
      </c>
      <c r="I108" s="7">
        <v>207500</v>
      </c>
      <c r="J108" s="7">
        <v>97.5</v>
      </c>
      <c r="K108" s="10">
        <v>0.97508700000000004</v>
      </c>
      <c r="L108" s="1"/>
    </row>
    <row r="109" spans="1:12" ht="15.6" x14ac:dyDescent="0.6">
      <c r="A109" s="5" t="s">
        <v>105</v>
      </c>
      <c r="B109" s="8">
        <v>35</v>
      </c>
      <c r="C109" s="11">
        <v>1.1324295467045999E-3</v>
      </c>
      <c r="D109" s="8">
        <v>18681802</v>
      </c>
      <c r="E109" s="11">
        <v>1.0975212180101999E-3</v>
      </c>
      <c r="F109" s="8">
        <v>533765.77142899996</v>
      </c>
      <c r="G109" s="8">
        <v>50.457099999999997</v>
      </c>
      <c r="H109" s="11">
        <v>0.98739856709999996</v>
      </c>
      <c r="I109" s="8">
        <v>440000</v>
      </c>
      <c r="J109" s="8">
        <v>13</v>
      </c>
      <c r="K109" s="11">
        <v>1</v>
      </c>
      <c r="L109" s="1"/>
    </row>
    <row r="110" spans="1:12" ht="15.6" x14ac:dyDescent="0.6">
      <c r="A110" s="4" t="s">
        <v>108</v>
      </c>
      <c r="B110" s="7">
        <v>34</v>
      </c>
      <c r="C110" s="10">
        <v>1.1000744167988E-3</v>
      </c>
      <c r="D110" s="7">
        <v>5404100</v>
      </c>
      <c r="E110" s="10">
        <v>3.1748085191401001E-4</v>
      </c>
      <c r="F110" s="7">
        <v>158944.11764700001</v>
      </c>
      <c r="G110" s="7">
        <v>61.2941</v>
      </c>
      <c r="H110" s="10">
        <v>0.94052542859999999</v>
      </c>
      <c r="I110" s="7">
        <v>142450</v>
      </c>
      <c r="J110" s="7">
        <v>49</v>
      </c>
      <c r="K110" s="10">
        <v>0.97599049999999998</v>
      </c>
      <c r="L110" s="1"/>
    </row>
    <row r="111" spans="1:12" ht="15.6" x14ac:dyDescent="0.6">
      <c r="A111" s="5" t="s">
        <v>127</v>
      </c>
      <c r="B111" s="8">
        <v>33</v>
      </c>
      <c r="C111" s="11">
        <v>1.0677192868929E-3</v>
      </c>
      <c r="D111" s="8">
        <v>7579013</v>
      </c>
      <c r="E111" s="11">
        <v>4.4525295681193999E-4</v>
      </c>
      <c r="F111" s="8">
        <v>229667.06060600001</v>
      </c>
      <c r="G111" s="8">
        <v>130.96969999999999</v>
      </c>
      <c r="H111" s="11">
        <v>0.95302731009999997</v>
      </c>
      <c r="I111" s="8">
        <v>200000</v>
      </c>
      <c r="J111" s="8">
        <v>92</v>
      </c>
      <c r="K111" s="11">
        <v>0.97198399999999996</v>
      </c>
      <c r="L111" s="1"/>
    </row>
    <row r="112" spans="1:12" ht="15.6" x14ac:dyDescent="0.6">
      <c r="A112" s="4" t="s">
        <v>119</v>
      </c>
      <c r="B112" s="7">
        <v>32</v>
      </c>
      <c r="C112" s="10">
        <v>1.0353641569871E-3</v>
      </c>
      <c r="D112" s="7">
        <v>10101600</v>
      </c>
      <c r="E112" s="10">
        <v>5.9345026437235E-4</v>
      </c>
      <c r="F112" s="7">
        <v>315675</v>
      </c>
      <c r="G112" s="7">
        <v>27.0625</v>
      </c>
      <c r="H112" s="10">
        <v>0.99854843010000005</v>
      </c>
      <c r="I112" s="7">
        <v>332450</v>
      </c>
      <c r="J112" s="7">
        <v>8.5</v>
      </c>
      <c r="K112" s="10">
        <v>1</v>
      </c>
      <c r="L112" s="1"/>
    </row>
    <row r="113" spans="1:12" ht="15.6" x14ac:dyDescent="0.6">
      <c r="A113" s="5" t="s">
        <v>101</v>
      </c>
      <c r="B113" s="8">
        <v>31</v>
      </c>
      <c r="C113" s="11">
        <v>1.0030090270811999E-3</v>
      </c>
      <c r="D113" s="8">
        <v>9781050</v>
      </c>
      <c r="E113" s="11">
        <v>5.7461854640246997E-4</v>
      </c>
      <c r="F113" s="8">
        <v>315517.741935</v>
      </c>
      <c r="G113" s="8">
        <v>33.709699999999998</v>
      </c>
      <c r="H113" s="11">
        <v>0.97300794079999997</v>
      </c>
      <c r="I113" s="8">
        <v>295000</v>
      </c>
      <c r="J113" s="8">
        <v>13</v>
      </c>
      <c r="K113" s="11">
        <v>0.99187199999999998</v>
      </c>
      <c r="L113" s="1"/>
    </row>
    <row r="114" spans="1:12" ht="15.6" x14ac:dyDescent="0.6">
      <c r="A114" s="4" t="s">
        <v>107</v>
      </c>
      <c r="B114" s="7">
        <v>28</v>
      </c>
      <c r="C114" s="10">
        <v>9.0594363736369999E-4</v>
      </c>
      <c r="D114" s="7">
        <v>6566700</v>
      </c>
      <c r="E114" s="10">
        <v>3.8578144561791E-4</v>
      </c>
      <c r="F114" s="7">
        <v>234525</v>
      </c>
      <c r="G114" s="7">
        <v>120.6786</v>
      </c>
      <c r="H114" s="10">
        <v>0.95123221459999996</v>
      </c>
      <c r="I114" s="7">
        <v>199000</v>
      </c>
      <c r="J114" s="7">
        <v>78.5</v>
      </c>
      <c r="K114" s="10">
        <v>0.96198249999999996</v>
      </c>
      <c r="L114" s="1"/>
    </row>
    <row r="115" spans="1:12" ht="15.6" x14ac:dyDescent="0.6">
      <c r="A115" s="5" t="s">
        <v>125</v>
      </c>
      <c r="B115" s="8">
        <v>26</v>
      </c>
      <c r="C115" s="11">
        <v>8.4123337755200999E-4</v>
      </c>
      <c r="D115" s="8">
        <v>4653450</v>
      </c>
      <c r="E115" s="11">
        <v>2.7338155665869999E-4</v>
      </c>
      <c r="F115" s="8">
        <v>178978.846154</v>
      </c>
      <c r="G115" s="8">
        <v>60.076900000000002</v>
      </c>
      <c r="H115" s="11">
        <v>0.99195166609999996</v>
      </c>
      <c r="I115" s="8">
        <v>156000</v>
      </c>
      <c r="J115" s="8">
        <v>19</v>
      </c>
      <c r="K115" s="11">
        <v>1</v>
      </c>
      <c r="L115" s="1"/>
    </row>
    <row r="116" spans="1:12" ht="15.6" x14ac:dyDescent="0.6">
      <c r="A116" s="4" t="s">
        <v>92</v>
      </c>
      <c r="B116" s="7">
        <v>26</v>
      </c>
      <c r="C116" s="10">
        <v>8.4123337755200999E-4</v>
      </c>
      <c r="D116" s="7">
        <v>5445447</v>
      </c>
      <c r="E116" s="10">
        <v>3.1990991147695999E-4</v>
      </c>
      <c r="F116" s="7">
        <v>209440.26923100001</v>
      </c>
      <c r="G116" s="7">
        <v>30.5</v>
      </c>
      <c r="H116" s="10">
        <v>0.97414147750000002</v>
      </c>
      <c r="I116" s="7">
        <v>224500</v>
      </c>
      <c r="J116" s="7">
        <v>11.5</v>
      </c>
      <c r="K116" s="10">
        <v>0.98940799999999995</v>
      </c>
      <c r="L116" s="1"/>
    </row>
    <row r="117" spans="1:12" ht="15.6" x14ac:dyDescent="0.6">
      <c r="A117" s="5" t="s">
        <v>118</v>
      </c>
      <c r="B117" s="8">
        <v>24</v>
      </c>
      <c r="C117" s="11">
        <v>7.7652311774031998E-4</v>
      </c>
      <c r="D117" s="8">
        <v>6094275</v>
      </c>
      <c r="E117" s="11">
        <v>3.5802735308344998E-4</v>
      </c>
      <c r="F117" s="8">
        <v>253928.125</v>
      </c>
      <c r="G117" s="8">
        <v>146.66669999999999</v>
      </c>
      <c r="H117" s="11">
        <v>0.93592414509999999</v>
      </c>
      <c r="I117" s="8">
        <v>230500</v>
      </c>
      <c r="J117" s="8">
        <v>86</v>
      </c>
      <c r="K117" s="11">
        <v>0.95493749999999999</v>
      </c>
      <c r="L117" s="1"/>
    </row>
    <row r="118" spans="1:12" ht="15.6" x14ac:dyDescent="0.6">
      <c r="A118" s="4" t="s">
        <v>123</v>
      </c>
      <c r="B118" s="7">
        <v>23</v>
      </c>
      <c r="C118" s="10">
        <v>7.4416798783447004E-4</v>
      </c>
      <c r="D118" s="7">
        <v>4433200</v>
      </c>
      <c r="E118" s="10">
        <v>2.6044227766052001E-4</v>
      </c>
      <c r="F118" s="7">
        <v>192747.82608699999</v>
      </c>
      <c r="G118" s="7">
        <v>36.217399999999998</v>
      </c>
      <c r="H118" s="10">
        <v>0.97733155149999995</v>
      </c>
      <c r="I118" s="7">
        <v>190000</v>
      </c>
      <c r="J118" s="7">
        <v>15</v>
      </c>
      <c r="K118" s="10">
        <v>1</v>
      </c>
      <c r="L118" s="1"/>
    </row>
    <row r="119" spans="1:12" ht="15.6" x14ac:dyDescent="0.6">
      <c r="A119" s="5" t="s">
        <v>161</v>
      </c>
      <c r="B119" s="8">
        <v>23</v>
      </c>
      <c r="C119" s="11">
        <v>7.4416798783447004E-4</v>
      </c>
      <c r="D119" s="8">
        <v>9072525</v>
      </c>
      <c r="E119" s="11">
        <v>5.3299401676711999E-4</v>
      </c>
      <c r="F119" s="8">
        <v>394457.60869600001</v>
      </c>
      <c r="G119" s="8">
        <v>49.304299999999998</v>
      </c>
      <c r="H119" s="11">
        <v>0.99560233149999999</v>
      </c>
      <c r="I119" s="8">
        <v>324950</v>
      </c>
      <c r="J119" s="8">
        <v>24</v>
      </c>
      <c r="K119" s="11">
        <v>1</v>
      </c>
      <c r="L119" s="1"/>
    </row>
    <row r="120" spans="1:12" ht="15.6" x14ac:dyDescent="0.6">
      <c r="A120" s="4" t="s">
        <v>126</v>
      </c>
      <c r="B120" s="7">
        <v>20</v>
      </c>
      <c r="C120" s="10">
        <v>6.4710259811692999E-4</v>
      </c>
      <c r="D120" s="7">
        <v>10071039</v>
      </c>
      <c r="E120" s="10">
        <v>5.9165486230441E-4</v>
      </c>
      <c r="F120" s="7">
        <v>503551.95</v>
      </c>
      <c r="G120" s="7">
        <v>20.05</v>
      </c>
      <c r="H120" s="10">
        <v>1.0115030469999999</v>
      </c>
      <c r="I120" s="7">
        <v>349900</v>
      </c>
      <c r="J120" s="7">
        <v>7</v>
      </c>
      <c r="K120" s="10">
        <v>1</v>
      </c>
      <c r="L120" s="1"/>
    </row>
    <row r="121" spans="1:12" ht="15.6" x14ac:dyDescent="0.6">
      <c r="A121" s="5" t="s">
        <v>157</v>
      </c>
      <c r="B121" s="8">
        <v>19</v>
      </c>
      <c r="C121" s="11">
        <v>6.1474746821107995E-4</v>
      </c>
      <c r="D121" s="8">
        <v>4060659</v>
      </c>
      <c r="E121" s="11">
        <v>2.3855618486932E-4</v>
      </c>
      <c r="F121" s="8">
        <v>213718.894737</v>
      </c>
      <c r="G121" s="8">
        <v>101.1053</v>
      </c>
      <c r="H121" s="11">
        <v>0.92318235469999999</v>
      </c>
      <c r="I121" s="8">
        <v>169000</v>
      </c>
      <c r="J121" s="8">
        <v>85</v>
      </c>
      <c r="K121" s="11">
        <v>0.97872300000000001</v>
      </c>
      <c r="L121" s="1"/>
    </row>
    <row r="122" spans="1:12" ht="15.6" x14ac:dyDescent="0.6">
      <c r="A122" s="4" t="s">
        <v>129</v>
      </c>
      <c r="B122" s="7">
        <v>18</v>
      </c>
      <c r="C122" s="10">
        <v>5.8239233830523999E-4</v>
      </c>
      <c r="D122" s="7">
        <v>6540132</v>
      </c>
      <c r="E122" s="10">
        <v>3.8422062489408001E-4</v>
      </c>
      <c r="F122" s="7">
        <v>363340.66666699998</v>
      </c>
      <c r="G122" s="7">
        <v>44.5</v>
      </c>
      <c r="H122" s="10">
        <v>0.9988795291</v>
      </c>
      <c r="I122" s="7">
        <v>394000</v>
      </c>
      <c r="J122" s="7">
        <v>26</v>
      </c>
      <c r="K122" s="10">
        <v>1.0009524999999999</v>
      </c>
      <c r="L122" s="1"/>
    </row>
    <row r="123" spans="1:12" ht="15.6" x14ac:dyDescent="0.6">
      <c r="A123" s="5" t="s">
        <v>120</v>
      </c>
      <c r="B123" s="8">
        <v>17</v>
      </c>
      <c r="C123" s="11">
        <v>5.5003720839939005E-4</v>
      </c>
      <c r="D123" s="8">
        <v>14769500</v>
      </c>
      <c r="E123" s="11">
        <v>8.6768073173036002E-4</v>
      </c>
      <c r="F123" s="8">
        <v>868794.11764700001</v>
      </c>
      <c r="G123" s="8">
        <v>71.058800000000005</v>
      </c>
      <c r="H123" s="11">
        <v>0.95768526440000001</v>
      </c>
      <c r="I123" s="8">
        <v>675000</v>
      </c>
      <c r="J123" s="8">
        <v>20</v>
      </c>
      <c r="K123" s="11">
        <v>0.97170599999999996</v>
      </c>
      <c r="L123" s="1"/>
    </row>
    <row r="124" spans="1:12" ht="15.6" x14ac:dyDescent="0.6">
      <c r="A124" s="4" t="s">
        <v>124</v>
      </c>
      <c r="B124" s="7">
        <v>16</v>
      </c>
      <c r="C124" s="10">
        <v>5.1768207849354998E-4</v>
      </c>
      <c r="D124" s="7">
        <v>4013500</v>
      </c>
      <c r="E124" s="10">
        <v>2.3578568108601001E-4</v>
      </c>
      <c r="F124" s="7">
        <v>250843.75</v>
      </c>
      <c r="G124" s="7">
        <v>75.75</v>
      </c>
      <c r="H124" s="10">
        <v>0.95174626269999996</v>
      </c>
      <c r="I124" s="7">
        <v>292400</v>
      </c>
      <c r="J124" s="7">
        <v>54.5</v>
      </c>
      <c r="K124" s="10">
        <v>0.99410050000000005</v>
      </c>
      <c r="L124" s="1"/>
    </row>
    <row r="125" spans="1:12" ht="15.6" x14ac:dyDescent="0.6">
      <c r="A125" s="5" t="s">
        <v>133</v>
      </c>
      <c r="B125" s="8">
        <v>16</v>
      </c>
      <c r="C125" s="11">
        <v>5.1768207849354998E-4</v>
      </c>
      <c r="D125" s="8">
        <v>2396950</v>
      </c>
      <c r="E125" s="11">
        <v>1.4081636683171999E-4</v>
      </c>
      <c r="F125" s="8">
        <v>149809.375</v>
      </c>
      <c r="G125" s="8">
        <v>135.5625</v>
      </c>
      <c r="H125" s="11">
        <v>0.91755226869999995</v>
      </c>
      <c r="I125" s="8">
        <v>139175</v>
      </c>
      <c r="J125" s="8">
        <v>83</v>
      </c>
      <c r="K125" s="11">
        <v>0.93779100000000004</v>
      </c>
      <c r="L125" s="1"/>
    </row>
    <row r="126" spans="1:12" ht="15.6" x14ac:dyDescent="0.6">
      <c r="A126" s="4" t="s">
        <v>115</v>
      </c>
      <c r="B126" s="7">
        <v>15</v>
      </c>
      <c r="C126" s="10">
        <v>4.8532694858769999E-4</v>
      </c>
      <c r="D126" s="7">
        <v>3153350</v>
      </c>
      <c r="E126" s="10">
        <v>1.852534639224E-4</v>
      </c>
      <c r="F126" s="7">
        <v>210223.33333299999</v>
      </c>
      <c r="G126" s="7">
        <v>46.066699999999997</v>
      </c>
      <c r="H126" s="10">
        <v>1.0307972915000001</v>
      </c>
      <c r="I126" s="7">
        <v>187500</v>
      </c>
      <c r="J126" s="7">
        <v>14</v>
      </c>
      <c r="K126" s="10">
        <v>1</v>
      </c>
      <c r="L126" s="1"/>
    </row>
    <row r="127" spans="1:12" ht="15.6" x14ac:dyDescent="0.6">
      <c r="A127" s="5" t="s">
        <v>116</v>
      </c>
      <c r="B127" s="8">
        <v>15</v>
      </c>
      <c r="C127" s="11">
        <v>4.8532694858769999E-4</v>
      </c>
      <c r="D127" s="8">
        <v>5558150</v>
      </c>
      <c r="E127" s="11">
        <v>3.2653100369457998E-4</v>
      </c>
      <c r="F127" s="8">
        <v>370543.33333300002</v>
      </c>
      <c r="G127" s="8">
        <v>27.066700000000001</v>
      </c>
      <c r="H127" s="11">
        <v>0.98639878560000005</v>
      </c>
      <c r="I127" s="8">
        <v>350000</v>
      </c>
      <c r="J127" s="8">
        <v>14</v>
      </c>
      <c r="K127" s="11">
        <v>0.97493700000000005</v>
      </c>
      <c r="L127" s="1"/>
    </row>
    <row r="128" spans="1:12" ht="15.6" x14ac:dyDescent="0.6">
      <c r="A128" s="4" t="s">
        <v>130</v>
      </c>
      <c r="B128" s="7">
        <v>15</v>
      </c>
      <c r="C128" s="10">
        <v>4.8532694858769999E-4</v>
      </c>
      <c r="D128" s="7">
        <v>5644900</v>
      </c>
      <c r="E128" s="10">
        <v>3.3162740529772E-4</v>
      </c>
      <c r="F128" s="7">
        <v>376326.66666699998</v>
      </c>
      <c r="G128" s="7">
        <v>112.5333</v>
      </c>
      <c r="H128" s="10">
        <v>0.97409853629999998</v>
      </c>
      <c r="I128" s="7">
        <v>369000</v>
      </c>
      <c r="J128" s="7">
        <v>55</v>
      </c>
      <c r="K128" s="10">
        <v>0.98399999999999999</v>
      </c>
      <c r="L128" s="1"/>
    </row>
    <row r="129" spans="1:12" ht="15.6" x14ac:dyDescent="0.6">
      <c r="A129" s="5" t="s">
        <v>132</v>
      </c>
      <c r="B129" s="8">
        <v>14</v>
      </c>
      <c r="C129" s="11">
        <v>4.5297181868185E-4</v>
      </c>
      <c r="D129" s="8">
        <v>6266400</v>
      </c>
      <c r="E129" s="11">
        <v>3.6813937758997E-4</v>
      </c>
      <c r="F129" s="8">
        <v>447600</v>
      </c>
      <c r="G129" s="8">
        <v>120.6429</v>
      </c>
      <c r="H129" s="11">
        <v>0.90198139730000004</v>
      </c>
      <c r="I129" s="8">
        <v>405000</v>
      </c>
      <c r="J129" s="8">
        <v>42</v>
      </c>
      <c r="K129" s="11">
        <v>0.92130849999999997</v>
      </c>
      <c r="L129" s="1"/>
    </row>
    <row r="130" spans="1:12" ht="15.6" x14ac:dyDescent="0.6">
      <c r="A130" s="4" t="s">
        <v>135</v>
      </c>
      <c r="B130" s="7">
        <v>12</v>
      </c>
      <c r="C130" s="10">
        <v>3.8826155887015999E-4</v>
      </c>
      <c r="D130" s="7">
        <v>3536600</v>
      </c>
      <c r="E130" s="10">
        <v>2.0776869060141001E-4</v>
      </c>
      <c r="F130" s="7">
        <v>294716.66666699998</v>
      </c>
      <c r="G130" s="7">
        <v>107.58329999999999</v>
      </c>
      <c r="H130" s="10">
        <v>0.96436351369999995</v>
      </c>
      <c r="I130" s="7">
        <v>309900</v>
      </c>
      <c r="J130" s="7">
        <v>131.5</v>
      </c>
      <c r="K130" s="10">
        <v>0.98390250000000001</v>
      </c>
      <c r="L130" s="1"/>
    </row>
    <row r="131" spans="1:12" ht="15.6" x14ac:dyDescent="0.6">
      <c r="A131" s="5" t="s">
        <v>128</v>
      </c>
      <c r="B131" s="8">
        <v>11</v>
      </c>
      <c r="C131" s="11">
        <v>3.5590642896431E-4</v>
      </c>
      <c r="D131" s="8">
        <v>2498500</v>
      </c>
      <c r="E131" s="11">
        <v>1.4678224098502E-4</v>
      </c>
      <c r="F131" s="8">
        <v>227136.36363599999</v>
      </c>
      <c r="G131" s="8">
        <v>58.545499999999997</v>
      </c>
      <c r="H131" s="11">
        <v>0.9822277935</v>
      </c>
      <c r="I131" s="8">
        <v>216000</v>
      </c>
      <c r="J131" s="8">
        <v>25</v>
      </c>
      <c r="K131" s="11">
        <v>0.97837799999999997</v>
      </c>
      <c r="L131" s="1"/>
    </row>
    <row r="132" spans="1:12" ht="15.6" x14ac:dyDescent="0.6">
      <c r="A132" s="4" t="s">
        <v>117</v>
      </c>
      <c r="B132" s="7">
        <v>11</v>
      </c>
      <c r="C132" s="10">
        <v>3.5590642896431E-4</v>
      </c>
      <c r="D132" s="7">
        <v>3388050</v>
      </c>
      <c r="E132" s="10">
        <v>1.9904165361989999E-4</v>
      </c>
      <c r="F132" s="7">
        <v>308004.54545500001</v>
      </c>
      <c r="G132" s="7">
        <v>70.2727</v>
      </c>
      <c r="H132" s="10">
        <v>1.0050901965000001</v>
      </c>
      <c r="I132" s="7">
        <v>249950</v>
      </c>
      <c r="J132" s="7">
        <v>70</v>
      </c>
      <c r="K132" s="10">
        <v>1</v>
      </c>
      <c r="L132" s="1"/>
    </row>
    <row r="133" spans="1:12" ht="15.6" x14ac:dyDescent="0.6">
      <c r="A133" s="5" t="s">
        <v>158</v>
      </c>
      <c r="B133" s="8">
        <v>11</v>
      </c>
      <c r="C133" s="11">
        <v>3.5590642896431E-4</v>
      </c>
      <c r="D133" s="8">
        <v>1791050</v>
      </c>
      <c r="E133" s="11">
        <v>1.0522086560585E-4</v>
      </c>
      <c r="F133" s="8">
        <v>162822.727273</v>
      </c>
      <c r="G133" s="8">
        <v>160.36359999999999</v>
      </c>
      <c r="H133" s="11">
        <v>0.92050622829999995</v>
      </c>
      <c r="I133" s="8">
        <v>131250</v>
      </c>
      <c r="J133" s="8">
        <v>134</v>
      </c>
      <c r="K133" s="11">
        <v>0.917431</v>
      </c>
      <c r="L133" s="1"/>
    </row>
    <row r="134" spans="1:12" ht="15.6" x14ac:dyDescent="0.6">
      <c r="A134" s="4" t="s">
        <v>134</v>
      </c>
      <c r="B134" s="7">
        <v>10</v>
      </c>
      <c r="C134" s="10">
        <v>3.2355129905846998E-4</v>
      </c>
      <c r="D134" s="7">
        <v>2653200</v>
      </c>
      <c r="E134" s="10">
        <v>1.5587057906002E-4</v>
      </c>
      <c r="F134" s="7">
        <v>265320</v>
      </c>
      <c r="G134" s="7">
        <v>189.2</v>
      </c>
      <c r="H134" s="10">
        <v>0.90654242269999996</v>
      </c>
      <c r="I134" s="7">
        <v>187500</v>
      </c>
      <c r="J134" s="7">
        <v>105.5</v>
      </c>
      <c r="K134" s="10">
        <v>0.91229000000000005</v>
      </c>
      <c r="L134" s="1"/>
    </row>
    <row r="135" spans="1:12" ht="15.6" x14ac:dyDescent="0.6">
      <c r="A135" s="5" t="s">
        <v>136</v>
      </c>
      <c r="B135" s="8">
        <v>9</v>
      </c>
      <c r="C135" s="11">
        <v>2.9119616915261999E-4</v>
      </c>
      <c r="D135" s="8">
        <v>2436500</v>
      </c>
      <c r="E135" s="11">
        <v>1.4313985597759E-4</v>
      </c>
      <c r="F135" s="8">
        <v>270722.22222200001</v>
      </c>
      <c r="G135" s="8">
        <v>26.8889</v>
      </c>
      <c r="H135" s="11">
        <v>0.99063035119999998</v>
      </c>
      <c r="I135" s="8">
        <v>290000</v>
      </c>
      <c r="J135" s="8">
        <v>12</v>
      </c>
      <c r="K135" s="11">
        <v>1</v>
      </c>
      <c r="L135" s="1"/>
    </row>
    <row r="136" spans="1:12" ht="15.6" x14ac:dyDescent="0.6">
      <c r="A136" s="4" t="s">
        <v>152</v>
      </c>
      <c r="B136" s="7">
        <v>7</v>
      </c>
      <c r="C136" s="10">
        <v>2.2648590934093001E-4</v>
      </c>
      <c r="D136" s="7">
        <v>1246100</v>
      </c>
      <c r="E136" s="10">
        <v>7.3206063834876001E-5</v>
      </c>
      <c r="F136" s="7">
        <v>178014.285714</v>
      </c>
      <c r="G136" s="7">
        <v>37.714300000000001</v>
      </c>
      <c r="H136" s="10">
        <v>0.9676282303</v>
      </c>
      <c r="I136" s="7">
        <v>220000</v>
      </c>
      <c r="J136" s="7">
        <v>29</v>
      </c>
      <c r="K136" s="10">
        <v>1</v>
      </c>
      <c r="L136" s="1"/>
    </row>
    <row r="137" spans="1:12" ht="15.6" x14ac:dyDescent="0.6">
      <c r="A137" s="5" t="s">
        <v>131</v>
      </c>
      <c r="B137" s="8">
        <v>7</v>
      </c>
      <c r="C137" s="11">
        <v>2.2648590934093001E-4</v>
      </c>
      <c r="D137" s="8">
        <v>2609000</v>
      </c>
      <c r="E137" s="11">
        <v>1.5327391103858999E-4</v>
      </c>
      <c r="F137" s="8">
        <v>372714.285714</v>
      </c>
      <c r="G137" s="8">
        <v>69.857100000000003</v>
      </c>
      <c r="H137" s="11">
        <v>0.97614418219999999</v>
      </c>
      <c r="I137" s="8">
        <v>365000</v>
      </c>
      <c r="J137" s="8">
        <v>56</v>
      </c>
      <c r="K137" s="11">
        <v>0.98648599999999997</v>
      </c>
      <c r="L137" s="1"/>
    </row>
    <row r="138" spans="1:12" ht="15.6" x14ac:dyDescent="0.6">
      <c r="A138" s="4" t="s">
        <v>159</v>
      </c>
      <c r="B138" s="7">
        <v>6</v>
      </c>
      <c r="C138" s="10">
        <v>1.9413077943508E-4</v>
      </c>
      <c r="D138" s="7">
        <v>612500</v>
      </c>
      <c r="E138" s="10">
        <v>3.5983238984721997E-5</v>
      </c>
      <c r="F138" s="7">
        <v>102083.333333</v>
      </c>
      <c r="G138" s="7">
        <v>111.83329999999999</v>
      </c>
      <c r="H138" s="10">
        <v>0.89759116179999998</v>
      </c>
      <c r="I138" s="7">
        <v>116500</v>
      </c>
      <c r="J138" s="7">
        <v>76</v>
      </c>
      <c r="K138" s="10">
        <v>0.92164449999999998</v>
      </c>
      <c r="L138" s="1"/>
    </row>
    <row r="139" spans="1:12" ht="15.6" x14ac:dyDescent="0.55000000000000004">
      <c r="A139" s="6" t="s">
        <v>137</v>
      </c>
      <c r="B139" s="9">
        <f>SUM(B6:B138)</f>
        <v>30907</v>
      </c>
      <c r="C139" s="12">
        <f>SUM(C6:C138)</f>
        <v>0.99999999999999867</v>
      </c>
      <c r="D139" s="9">
        <f>SUM(D6:D138)</f>
        <v>17021813969</v>
      </c>
      <c r="E139" s="12">
        <f>SUM(E6:E138)</f>
        <v>0.99999999999999789</v>
      </c>
      <c r="F139" s="9">
        <v>550743.00219999999</v>
      </c>
      <c r="G139" s="9">
        <v>29.851299999999998</v>
      </c>
      <c r="H139" s="12">
        <v>1.0000863009000001</v>
      </c>
      <c r="I139" s="9">
        <v>437250</v>
      </c>
      <c r="J139" s="9">
        <v>10</v>
      </c>
      <c r="K139" s="12">
        <v>1</v>
      </c>
      <c r="L13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DF91-48F9-4D81-92DB-06AFECA5D269}">
  <dimension ref="A1:L139"/>
  <sheetViews>
    <sheetView workbookViewId="0">
      <pane xSplit="1" ySplit="5" topLeftCell="B111" activePane="bottomRight" state="frozen"/>
      <selection pane="topRight"/>
      <selection pane="bottomLeft"/>
      <selection pane="bottomRight" activeCell="B131" sqref="B131"/>
    </sheetView>
  </sheetViews>
  <sheetFormatPr defaultRowHeight="14.4" x14ac:dyDescent="0.55000000000000004"/>
  <cols>
    <col min="1" max="1" width="25" customWidth="1"/>
    <col min="2" max="7" width="15" customWidth="1"/>
    <col min="8" max="11" width="10" customWidth="1"/>
    <col min="12" max="12" width="20" customWidth="1"/>
  </cols>
  <sheetData>
    <row r="1" spans="1:12" ht="18.3" x14ac:dyDescent="0.7">
      <c r="A1" s="2" t="s">
        <v>160</v>
      </c>
    </row>
    <row r="2" spans="1:12" ht="18.3" x14ac:dyDescent="0.7">
      <c r="A2" s="2" t="s">
        <v>153</v>
      </c>
    </row>
    <row r="5" spans="1:12" ht="31.2" x14ac:dyDescent="0.55000000000000004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2" ht="15.6" x14ac:dyDescent="0.6">
      <c r="A6" s="4" t="s">
        <v>11</v>
      </c>
      <c r="B6" s="7">
        <v>2032</v>
      </c>
      <c r="C6" s="10">
        <v>8.4843423799581999E-2</v>
      </c>
      <c r="D6" s="7">
        <v>2377712971</v>
      </c>
      <c r="E6" s="10">
        <v>0.17553157428009</v>
      </c>
      <c r="F6" s="7">
        <v>1170134.3361219999</v>
      </c>
      <c r="G6" s="7">
        <v>14.7613</v>
      </c>
      <c r="H6" s="10">
        <v>1.0094743772000001</v>
      </c>
      <c r="I6" s="7">
        <v>990000</v>
      </c>
      <c r="J6" s="7">
        <v>6</v>
      </c>
      <c r="K6" s="10">
        <v>1</v>
      </c>
      <c r="L6" s="1"/>
    </row>
    <row r="7" spans="1:12" ht="15.6" x14ac:dyDescent="0.6">
      <c r="A7" s="5" t="s">
        <v>13</v>
      </c>
      <c r="B7" s="8">
        <v>1382</v>
      </c>
      <c r="C7" s="11">
        <v>5.7703549060543001E-2</v>
      </c>
      <c r="D7" s="8">
        <v>762788498</v>
      </c>
      <c r="E7" s="11">
        <v>5.6311870915340997E-2</v>
      </c>
      <c r="F7" s="8">
        <v>551945.36758299998</v>
      </c>
      <c r="G7" s="8">
        <v>22.1418</v>
      </c>
      <c r="H7" s="11">
        <v>1.0033135091000001</v>
      </c>
      <c r="I7" s="8">
        <v>435000</v>
      </c>
      <c r="J7" s="8">
        <v>11</v>
      </c>
      <c r="K7" s="11">
        <v>1</v>
      </c>
      <c r="L7" s="1"/>
    </row>
    <row r="8" spans="1:12" ht="15.6" x14ac:dyDescent="0.6">
      <c r="A8" s="4" t="s">
        <v>12</v>
      </c>
      <c r="B8" s="7">
        <v>1266</v>
      </c>
      <c r="C8" s="10">
        <v>5.2860125260959998E-2</v>
      </c>
      <c r="D8" s="7">
        <v>642790392</v>
      </c>
      <c r="E8" s="10">
        <v>4.7453166473840999E-2</v>
      </c>
      <c r="F8" s="7">
        <v>507733.32701399998</v>
      </c>
      <c r="G8" s="7">
        <v>22.378399999999999</v>
      </c>
      <c r="H8" s="10">
        <v>1.0131156412</v>
      </c>
      <c r="I8" s="7">
        <v>449950</v>
      </c>
      <c r="J8" s="7">
        <v>6</v>
      </c>
      <c r="K8" s="10">
        <v>1.0001</v>
      </c>
      <c r="L8" s="1"/>
    </row>
    <row r="9" spans="1:12" ht="15.6" x14ac:dyDescent="0.6">
      <c r="A9" s="5" t="s">
        <v>14</v>
      </c>
      <c r="B9" s="8">
        <v>917</v>
      </c>
      <c r="C9" s="11">
        <v>3.8288100208768001E-2</v>
      </c>
      <c r="D9" s="8">
        <v>688020358</v>
      </c>
      <c r="E9" s="11">
        <v>5.0792210014187003E-2</v>
      </c>
      <c r="F9" s="8">
        <v>750294.82879000006</v>
      </c>
      <c r="G9" s="8">
        <v>14.6968</v>
      </c>
      <c r="H9" s="11">
        <v>1.0109391985</v>
      </c>
      <c r="I9" s="8">
        <v>715000</v>
      </c>
      <c r="J9" s="8">
        <v>6</v>
      </c>
      <c r="K9" s="11">
        <v>1.0001580000000001</v>
      </c>
      <c r="L9" s="1"/>
    </row>
    <row r="10" spans="1:12" ht="15.6" x14ac:dyDescent="0.6">
      <c r="A10" s="4" t="s">
        <v>16</v>
      </c>
      <c r="B10" s="7">
        <v>910</v>
      </c>
      <c r="C10" s="10">
        <v>3.7995824634655999E-2</v>
      </c>
      <c r="D10" s="7">
        <v>430943588</v>
      </c>
      <c r="E10" s="10">
        <v>3.1813851104044E-2</v>
      </c>
      <c r="F10" s="7">
        <v>473564.38241800002</v>
      </c>
      <c r="G10" s="7">
        <v>30.357099999999999</v>
      </c>
      <c r="H10" s="10">
        <v>1.0034762959000001</v>
      </c>
      <c r="I10" s="7">
        <v>437125</v>
      </c>
      <c r="J10" s="7">
        <v>15</v>
      </c>
      <c r="K10" s="10">
        <v>1</v>
      </c>
      <c r="L10" s="1"/>
    </row>
    <row r="11" spans="1:12" ht="15.6" x14ac:dyDescent="0.6">
      <c r="A11" s="5" t="s">
        <v>17</v>
      </c>
      <c r="B11" s="8">
        <v>879</v>
      </c>
      <c r="C11" s="11">
        <v>3.6701461377871003E-2</v>
      </c>
      <c r="D11" s="8">
        <v>451626815</v>
      </c>
      <c r="E11" s="11">
        <v>3.3340763494557002E-2</v>
      </c>
      <c r="F11" s="8">
        <v>513796.14903299999</v>
      </c>
      <c r="G11" s="8">
        <v>17.562000000000001</v>
      </c>
      <c r="H11" s="11">
        <v>1.0267972096</v>
      </c>
      <c r="I11" s="8">
        <v>422950</v>
      </c>
      <c r="J11" s="8">
        <v>7</v>
      </c>
      <c r="K11" s="11">
        <v>1.007144</v>
      </c>
      <c r="L11" s="1"/>
    </row>
    <row r="12" spans="1:12" ht="15.6" x14ac:dyDescent="0.6">
      <c r="A12" s="4" t="s">
        <v>18</v>
      </c>
      <c r="B12" s="7">
        <v>835</v>
      </c>
      <c r="C12" s="10">
        <v>3.4864300626305002E-2</v>
      </c>
      <c r="D12" s="7">
        <v>307815483</v>
      </c>
      <c r="E12" s="10">
        <v>2.2724078548492999E-2</v>
      </c>
      <c r="F12" s="7">
        <v>368641.29700600001</v>
      </c>
      <c r="G12" s="7">
        <v>29.231100000000001</v>
      </c>
      <c r="H12" s="10">
        <v>0.99801036860000003</v>
      </c>
      <c r="I12" s="7">
        <v>325000</v>
      </c>
      <c r="J12" s="7">
        <v>14</v>
      </c>
      <c r="K12" s="10">
        <v>1</v>
      </c>
      <c r="L12" s="1"/>
    </row>
    <row r="13" spans="1:12" ht="15.6" x14ac:dyDescent="0.6">
      <c r="A13" s="5" t="s">
        <v>15</v>
      </c>
      <c r="B13" s="8">
        <v>774</v>
      </c>
      <c r="C13" s="11">
        <v>3.2317327766180001E-2</v>
      </c>
      <c r="D13" s="8">
        <v>890749496</v>
      </c>
      <c r="E13" s="11">
        <v>6.5758425524472003E-2</v>
      </c>
      <c r="F13" s="8">
        <v>1150839.142119</v>
      </c>
      <c r="G13" s="8">
        <v>16.478000000000002</v>
      </c>
      <c r="H13" s="11">
        <v>1.0103474182000001</v>
      </c>
      <c r="I13" s="8">
        <v>1080000</v>
      </c>
      <c r="J13" s="8">
        <v>6</v>
      </c>
      <c r="K13" s="11">
        <v>1</v>
      </c>
      <c r="L13" s="1"/>
    </row>
    <row r="14" spans="1:12" ht="15.6" x14ac:dyDescent="0.6">
      <c r="A14" s="4" t="s">
        <v>19</v>
      </c>
      <c r="B14" s="7">
        <v>670</v>
      </c>
      <c r="C14" s="10">
        <v>2.7974947807932998E-2</v>
      </c>
      <c r="D14" s="7">
        <v>377523777</v>
      </c>
      <c r="E14" s="10">
        <v>2.7870202885382001E-2</v>
      </c>
      <c r="F14" s="7">
        <v>563468.32388100005</v>
      </c>
      <c r="G14" s="7">
        <v>16.873100000000001</v>
      </c>
      <c r="H14" s="10">
        <v>1.0260803831</v>
      </c>
      <c r="I14" s="7">
        <v>447500</v>
      </c>
      <c r="J14" s="7">
        <v>8</v>
      </c>
      <c r="K14" s="10">
        <v>1.0001249999999999</v>
      </c>
      <c r="L14" s="1"/>
    </row>
    <row r="15" spans="1:12" ht="15.6" x14ac:dyDescent="0.6">
      <c r="A15" s="5" t="s">
        <v>21</v>
      </c>
      <c r="B15" s="8">
        <v>488</v>
      </c>
      <c r="C15" s="11">
        <v>2.0375782881001999E-2</v>
      </c>
      <c r="D15" s="8">
        <v>300328325</v>
      </c>
      <c r="E15" s="11">
        <v>2.2171348826002E-2</v>
      </c>
      <c r="F15" s="8">
        <v>615426.89549200004</v>
      </c>
      <c r="G15" s="8">
        <v>20.8156</v>
      </c>
      <c r="H15" s="11">
        <v>1.0038208131999999</v>
      </c>
      <c r="I15" s="8">
        <v>599450</v>
      </c>
      <c r="J15" s="8">
        <v>7</v>
      </c>
      <c r="K15" s="11">
        <v>1</v>
      </c>
      <c r="L15" s="1"/>
    </row>
    <row r="16" spans="1:12" ht="15.6" x14ac:dyDescent="0.6">
      <c r="A16" s="4" t="s">
        <v>20</v>
      </c>
      <c r="B16" s="7">
        <v>485</v>
      </c>
      <c r="C16" s="10">
        <v>2.0250521920668001E-2</v>
      </c>
      <c r="D16" s="7">
        <v>159448322</v>
      </c>
      <c r="E16" s="10">
        <v>1.1771065439074999E-2</v>
      </c>
      <c r="F16" s="7">
        <v>328759.42680399999</v>
      </c>
      <c r="G16" s="7">
        <v>30.511299999999999</v>
      </c>
      <c r="H16" s="10">
        <v>0.99904787080000002</v>
      </c>
      <c r="I16" s="7">
        <v>315000</v>
      </c>
      <c r="J16" s="7">
        <v>16</v>
      </c>
      <c r="K16" s="10">
        <v>1</v>
      </c>
      <c r="L16" s="1"/>
    </row>
    <row r="17" spans="1:12" ht="15.6" x14ac:dyDescent="0.6">
      <c r="A17" s="5" t="s">
        <v>22</v>
      </c>
      <c r="B17" s="8">
        <v>480</v>
      </c>
      <c r="C17" s="11">
        <v>2.0041753653444998E-2</v>
      </c>
      <c r="D17" s="8">
        <v>146317478</v>
      </c>
      <c r="E17" s="11">
        <v>1.0801697922029001E-2</v>
      </c>
      <c r="F17" s="8">
        <v>304828.07916700002</v>
      </c>
      <c r="G17" s="8">
        <v>32.962499999999999</v>
      </c>
      <c r="H17" s="11">
        <v>0.99999145330000005</v>
      </c>
      <c r="I17" s="8">
        <v>285000</v>
      </c>
      <c r="J17" s="8">
        <v>17</v>
      </c>
      <c r="K17" s="11">
        <v>1</v>
      </c>
      <c r="L17" s="1"/>
    </row>
    <row r="18" spans="1:12" ht="15.6" x14ac:dyDescent="0.6">
      <c r="A18" s="4" t="s">
        <v>26</v>
      </c>
      <c r="B18" s="7">
        <v>472</v>
      </c>
      <c r="C18" s="10">
        <v>1.9707724425886999E-2</v>
      </c>
      <c r="D18" s="7">
        <v>205389924</v>
      </c>
      <c r="E18" s="10">
        <v>1.5162644583557001E-2</v>
      </c>
      <c r="F18" s="7">
        <v>435148.14406800002</v>
      </c>
      <c r="G18" s="7">
        <v>35.959699999999998</v>
      </c>
      <c r="H18" s="10">
        <v>0.99800827410000004</v>
      </c>
      <c r="I18" s="7">
        <v>425000</v>
      </c>
      <c r="J18" s="7">
        <v>23</v>
      </c>
      <c r="K18" s="10">
        <v>1</v>
      </c>
      <c r="L18" s="1"/>
    </row>
    <row r="19" spans="1:12" ht="15.6" x14ac:dyDescent="0.6">
      <c r="A19" s="5" t="s">
        <v>24</v>
      </c>
      <c r="B19" s="8">
        <v>452</v>
      </c>
      <c r="C19" s="11">
        <v>1.8872651356994001E-2</v>
      </c>
      <c r="D19" s="8">
        <v>243044760</v>
      </c>
      <c r="E19" s="11">
        <v>1.7942463982683E-2</v>
      </c>
      <c r="F19" s="8">
        <v>537709.64601799997</v>
      </c>
      <c r="G19" s="8">
        <v>25.1571</v>
      </c>
      <c r="H19" s="11">
        <v>1.0031609918</v>
      </c>
      <c r="I19" s="8">
        <v>480000</v>
      </c>
      <c r="J19" s="8">
        <v>9</v>
      </c>
      <c r="K19" s="11">
        <v>1</v>
      </c>
      <c r="L19" s="1"/>
    </row>
    <row r="20" spans="1:12" ht="15.6" x14ac:dyDescent="0.6">
      <c r="A20" s="4" t="s">
        <v>28</v>
      </c>
      <c r="B20" s="7">
        <v>432</v>
      </c>
      <c r="C20" s="10">
        <v>1.8037578288100001E-2</v>
      </c>
      <c r="D20" s="7">
        <v>330038014</v>
      </c>
      <c r="E20" s="10">
        <v>2.4364628059092001E-2</v>
      </c>
      <c r="F20" s="7">
        <v>763976.88425899995</v>
      </c>
      <c r="G20" s="7">
        <v>24.784700000000001</v>
      </c>
      <c r="H20" s="10">
        <v>1.0061891376000001</v>
      </c>
      <c r="I20" s="7">
        <v>600000</v>
      </c>
      <c r="J20" s="7">
        <v>7</v>
      </c>
      <c r="K20" s="10">
        <v>1</v>
      </c>
      <c r="L20" s="1"/>
    </row>
    <row r="21" spans="1:12" ht="15.6" x14ac:dyDescent="0.6">
      <c r="A21" s="5" t="s">
        <v>27</v>
      </c>
      <c r="B21" s="8">
        <v>428</v>
      </c>
      <c r="C21" s="11">
        <v>1.7870563674322E-2</v>
      </c>
      <c r="D21" s="8">
        <v>121987560</v>
      </c>
      <c r="E21" s="11">
        <v>9.0055733011292997E-3</v>
      </c>
      <c r="F21" s="8">
        <v>285017.66355100001</v>
      </c>
      <c r="G21" s="8">
        <v>33.151899999999998</v>
      </c>
      <c r="H21" s="11">
        <v>1.0014728302</v>
      </c>
      <c r="I21" s="8">
        <v>275000</v>
      </c>
      <c r="J21" s="8">
        <v>19</v>
      </c>
      <c r="K21" s="11">
        <v>1</v>
      </c>
      <c r="L21" s="1"/>
    </row>
    <row r="22" spans="1:12" ht="15.6" x14ac:dyDescent="0.6">
      <c r="A22" s="4" t="s">
        <v>32</v>
      </c>
      <c r="B22" s="7">
        <v>373</v>
      </c>
      <c r="C22" s="10">
        <v>1.5574112734864001E-2</v>
      </c>
      <c r="D22" s="7">
        <v>190109458</v>
      </c>
      <c r="E22" s="10">
        <v>1.4034584012148001E-2</v>
      </c>
      <c r="F22" s="7">
        <v>509676.831099</v>
      </c>
      <c r="G22" s="7">
        <v>42.8767</v>
      </c>
      <c r="H22" s="10">
        <v>0.99959035480000002</v>
      </c>
      <c r="I22" s="7">
        <v>485000</v>
      </c>
      <c r="J22" s="7">
        <v>17</v>
      </c>
      <c r="K22" s="10">
        <v>1</v>
      </c>
      <c r="L22" s="1"/>
    </row>
    <row r="23" spans="1:12" ht="15.6" x14ac:dyDescent="0.6">
      <c r="A23" s="5" t="s">
        <v>31</v>
      </c>
      <c r="B23" s="8">
        <v>369</v>
      </c>
      <c r="C23" s="11">
        <v>1.5407098121086E-2</v>
      </c>
      <c r="D23" s="8">
        <v>141953005</v>
      </c>
      <c r="E23" s="11">
        <v>1.0479496367032E-2</v>
      </c>
      <c r="F23" s="8">
        <v>384696.49051500001</v>
      </c>
      <c r="G23" s="8">
        <v>30.246600000000001</v>
      </c>
      <c r="H23" s="11">
        <v>0.99324328179999999</v>
      </c>
      <c r="I23" s="8">
        <v>355000</v>
      </c>
      <c r="J23" s="8">
        <v>7</v>
      </c>
      <c r="K23" s="11">
        <v>1</v>
      </c>
      <c r="L23" s="1"/>
    </row>
    <row r="24" spans="1:12" ht="15.6" x14ac:dyDescent="0.6">
      <c r="A24" s="4" t="s">
        <v>29</v>
      </c>
      <c r="B24" s="7">
        <v>364</v>
      </c>
      <c r="C24" s="10">
        <v>1.5198329853862E-2</v>
      </c>
      <c r="D24" s="7">
        <v>190075939</v>
      </c>
      <c r="E24" s="10">
        <v>1.4032109515473999E-2</v>
      </c>
      <c r="F24" s="7">
        <v>522186.64560400002</v>
      </c>
      <c r="G24" s="7">
        <v>25.239000000000001</v>
      </c>
      <c r="H24" s="10">
        <v>1.0074165685000001</v>
      </c>
      <c r="I24" s="7">
        <v>486000</v>
      </c>
      <c r="J24" s="7">
        <v>6</v>
      </c>
      <c r="K24" s="10">
        <v>1</v>
      </c>
      <c r="L24" s="1"/>
    </row>
    <row r="25" spans="1:12" ht="15.6" x14ac:dyDescent="0.6">
      <c r="A25" s="5" t="s">
        <v>30</v>
      </c>
      <c r="B25" s="8">
        <v>364</v>
      </c>
      <c r="C25" s="11">
        <v>1.5198329853862E-2</v>
      </c>
      <c r="D25" s="8">
        <v>208999168</v>
      </c>
      <c r="E25" s="11">
        <v>1.5429092337767999E-2</v>
      </c>
      <c r="F25" s="8">
        <v>574173.53846199997</v>
      </c>
      <c r="G25" s="8">
        <v>29.576899999999998</v>
      </c>
      <c r="H25" s="11">
        <v>0.99722771970000001</v>
      </c>
      <c r="I25" s="8">
        <v>533250</v>
      </c>
      <c r="J25" s="8">
        <v>16</v>
      </c>
      <c r="K25" s="11">
        <v>1</v>
      </c>
      <c r="L25" s="1"/>
    </row>
    <row r="26" spans="1:12" ht="15.6" x14ac:dyDescent="0.6">
      <c r="A26" s="4" t="s">
        <v>33</v>
      </c>
      <c r="B26" s="7">
        <v>319</v>
      </c>
      <c r="C26" s="10">
        <v>1.3319415448852E-2</v>
      </c>
      <c r="D26" s="7">
        <v>96931084</v>
      </c>
      <c r="E26" s="10">
        <v>7.1558114788092004E-3</v>
      </c>
      <c r="F26" s="7">
        <v>303859.19749200001</v>
      </c>
      <c r="G26" s="7">
        <v>28.956099999999999</v>
      </c>
      <c r="H26" s="10">
        <v>0.98416710279999997</v>
      </c>
      <c r="I26" s="7">
        <v>250000</v>
      </c>
      <c r="J26" s="7">
        <v>9</v>
      </c>
      <c r="K26" s="10">
        <v>1</v>
      </c>
      <c r="L26" s="1"/>
    </row>
    <row r="27" spans="1:12" ht="15.6" x14ac:dyDescent="0.6">
      <c r="A27" s="5" t="s">
        <v>35</v>
      </c>
      <c r="B27" s="8">
        <v>291</v>
      </c>
      <c r="C27" s="11">
        <v>1.2150313152400999E-2</v>
      </c>
      <c r="D27" s="8">
        <v>123580702</v>
      </c>
      <c r="E27" s="11">
        <v>9.1231849416941995E-3</v>
      </c>
      <c r="F27" s="8">
        <v>424675.95189000003</v>
      </c>
      <c r="G27" s="8">
        <v>30.020600000000002</v>
      </c>
      <c r="H27" s="11">
        <v>0.99986583380000005</v>
      </c>
      <c r="I27" s="8">
        <v>369990</v>
      </c>
      <c r="J27" s="8">
        <v>8</v>
      </c>
      <c r="K27" s="11">
        <v>1</v>
      </c>
      <c r="L27" s="1"/>
    </row>
    <row r="28" spans="1:12" ht="15.6" x14ac:dyDescent="0.6">
      <c r="A28" s="4" t="s">
        <v>34</v>
      </c>
      <c r="B28" s="7">
        <v>303</v>
      </c>
      <c r="C28" s="10">
        <v>1.2651356993737119E-2</v>
      </c>
      <c r="D28" s="7">
        <v>151656688</v>
      </c>
      <c r="E28" s="10">
        <v>1.1195858171033921E-2</v>
      </c>
      <c r="F28" s="7">
        <v>500517.12211200001</v>
      </c>
      <c r="G28" s="7">
        <v>40.528100000000002</v>
      </c>
      <c r="H28" s="10">
        <v>0.98282720980000005</v>
      </c>
      <c r="I28" s="7">
        <v>405000</v>
      </c>
      <c r="J28" s="7">
        <v>15</v>
      </c>
      <c r="K28" s="10">
        <v>1</v>
      </c>
      <c r="L28" s="1"/>
    </row>
    <row r="29" spans="1:12" ht="15.6" x14ac:dyDescent="0.6">
      <c r="A29" s="5" t="s">
        <v>23</v>
      </c>
      <c r="B29" s="8">
        <v>290</v>
      </c>
      <c r="C29" s="11">
        <v>1.2108559498955999E-2</v>
      </c>
      <c r="D29" s="8">
        <v>436934109</v>
      </c>
      <c r="E29" s="11">
        <v>3.2256093542350997E-2</v>
      </c>
      <c r="F29" s="8">
        <v>1506669.3413790001</v>
      </c>
      <c r="G29" s="8">
        <v>16.824100000000001</v>
      </c>
      <c r="H29" s="11">
        <v>1.006346462</v>
      </c>
      <c r="I29" s="8">
        <v>1347500</v>
      </c>
      <c r="J29" s="8">
        <v>6</v>
      </c>
      <c r="K29" s="11">
        <v>1</v>
      </c>
      <c r="L29" s="1"/>
    </row>
    <row r="30" spans="1:12" ht="15.6" x14ac:dyDescent="0.6">
      <c r="A30" s="4" t="s">
        <v>36</v>
      </c>
      <c r="B30" s="7">
        <v>289</v>
      </c>
      <c r="C30" s="10">
        <v>1.2066805845511E-2</v>
      </c>
      <c r="D30" s="7">
        <v>100929951</v>
      </c>
      <c r="E30" s="10">
        <v>7.4510226453410001E-3</v>
      </c>
      <c r="F30" s="7">
        <v>349238.584775</v>
      </c>
      <c r="G30" s="7">
        <v>31.380600000000001</v>
      </c>
      <c r="H30" s="10">
        <v>0.98812267369999995</v>
      </c>
      <c r="I30" s="7">
        <v>286000</v>
      </c>
      <c r="J30" s="7">
        <v>11</v>
      </c>
      <c r="K30" s="10">
        <v>1</v>
      </c>
      <c r="L30" s="1"/>
    </row>
    <row r="31" spans="1:12" ht="15.6" x14ac:dyDescent="0.6">
      <c r="A31" s="5" t="s">
        <v>38</v>
      </c>
      <c r="B31" s="8">
        <v>279</v>
      </c>
      <c r="C31" s="11">
        <v>1.1649269311065E-2</v>
      </c>
      <c r="D31" s="8">
        <v>125853287</v>
      </c>
      <c r="E31" s="11">
        <v>9.2909555799507004E-3</v>
      </c>
      <c r="F31" s="8">
        <v>451087.05017900001</v>
      </c>
      <c r="G31" s="8">
        <v>34.860199999999999</v>
      </c>
      <c r="H31" s="11">
        <v>0.99758808489999995</v>
      </c>
      <c r="I31" s="8">
        <v>409900</v>
      </c>
      <c r="J31" s="8">
        <v>7</v>
      </c>
      <c r="K31" s="11">
        <v>1</v>
      </c>
      <c r="L31" s="1"/>
    </row>
    <row r="32" spans="1:12" ht="15.6" x14ac:dyDescent="0.6">
      <c r="A32" s="4" t="s">
        <v>45</v>
      </c>
      <c r="B32" s="7">
        <v>269</v>
      </c>
      <c r="C32" s="10">
        <v>1.1231732776618E-2</v>
      </c>
      <c r="D32" s="7">
        <v>103997337</v>
      </c>
      <c r="E32" s="10">
        <v>7.677468435927E-3</v>
      </c>
      <c r="F32" s="7">
        <v>386607.20074300002</v>
      </c>
      <c r="G32" s="7">
        <v>28.5428</v>
      </c>
      <c r="H32" s="10">
        <v>0.99448495749999999</v>
      </c>
      <c r="I32" s="7">
        <v>350000</v>
      </c>
      <c r="J32" s="7">
        <v>8</v>
      </c>
      <c r="K32" s="10">
        <v>1</v>
      </c>
      <c r="L32" s="1"/>
    </row>
    <row r="33" spans="1:12" ht="15.6" x14ac:dyDescent="0.6">
      <c r="A33" s="5" t="s">
        <v>41</v>
      </c>
      <c r="B33" s="8">
        <v>230</v>
      </c>
      <c r="C33" s="11">
        <v>9.6033402922755997E-3</v>
      </c>
      <c r="D33" s="8">
        <v>176461036</v>
      </c>
      <c r="E33" s="11">
        <v>1.3027006970967E-2</v>
      </c>
      <c r="F33" s="8">
        <v>767221.89565199998</v>
      </c>
      <c r="G33" s="8">
        <v>27.195699999999999</v>
      </c>
      <c r="H33" s="11">
        <v>1.0014019417</v>
      </c>
      <c r="I33" s="8">
        <v>665000</v>
      </c>
      <c r="J33" s="8">
        <v>11</v>
      </c>
      <c r="K33" s="11">
        <v>1</v>
      </c>
      <c r="L33" s="1"/>
    </row>
    <row r="34" spans="1:12" ht="15.6" x14ac:dyDescent="0.6">
      <c r="A34" s="4" t="s">
        <v>37</v>
      </c>
      <c r="B34" s="7">
        <v>226</v>
      </c>
      <c r="C34" s="10">
        <v>9.4363256784968999E-3</v>
      </c>
      <c r="D34" s="7">
        <v>116576924</v>
      </c>
      <c r="E34" s="10">
        <v>8.6061401203712008E-3</v>
      </c>
      <c r="F34" s="7">
        <v>515827.09734500002</v>
      </c>
      <c r="G34" s="7">
        <v>21.982299999999999</v>
      </c>
      <c r="H34" s="10">
        <v>1.002956191</v>
      </c>
      <c r="I34" s="7">
        <v>487202.5</v>
      </c>
      <c r="J34" s="7">
        <v>8.5</v>
      </c>
      <c r="K34" s="10">
        <v>1</v>
      </c>
      <c r="L34" s="1"/>
    </row>
    <row r="35" spans="1:12" ht="15.6" x14ac:dyDescent="0.6">
      <c r="A35" s="5" t="s">
        <v>46</v>
      </c>
      <c r="B35" s="8">
        <v>213</v>
      </c>
      <c r="C35" s="11">
        <v>8.8935281837161009E-3</v>
      </c>
      <c r="D35" s="8">
        <v>115893153</v>
      </c>
      <c r="E35" s="11">
        <v>8.5556616136965007E-3</v>
      </c>
      <c r="F35" s="8">
        <v>544099.30985900003</v>
      </c>
      <c r="G35" s="8">
        <v>45.554000000000002</v>
      </c>
      <c r="H35" s="11">
        <v>0.97424322340000002</v>
      </c>
      <c r="I35" s="8">
        <v>380000</v>
      </c>
      <c r="J35" s="8">
        <v>18</v>
      </c>
      <c r="K35" s="11">
        <v>0.98596499999999998</v>
      </c>
      <c r="L35" s="1"/>
    </row>
    <row r="36" spans="1:12" ht="15.6" x14ac:dyDescent="0.6">
      <c r="A36" s="4" t="s">
        <v>44</v>
      </c>
      <c r="B36" s="7">
        <v>199</v>
      </c>
      <c r="C36" s="10">
        <v>8.3089770354906004E-3</v>
      </c>
      <c r="D36" s="7">
        <v>114436338</v>
      </c>
      <c r="E36" s="10">
        <v>8.4481141369810008E-3</v>
      </c>
      <c r="F36" s="7">
        <v>575056.97487399995</v>
      </c>
      <c r="G36" s="7">
        <v>49.0854</v>
      </c>
      <c r="H36" s="10">
        <v>1.0002750181</v>
      </c>
      <c r="I36" s="7">
        <v>445000</v>
      </c>
      <c r="J36" s="7">
        <v>21</v>
      </c>
      <c r="K36" s="10">
        <v>1</v>
      </c>
      <c r="L36" s="1"/>
    </row>
    <row r="37" spans="1:12" ht="15.6" x14ac:dyDescent="0.6">
      <c r="A37" s="5" t="s">
        <v>52</v>
      </c>
      <c r="B37" s="8">
        <v>179</v>
      </c>
      <c r="C37" s="11">
        <v>7.4739039665970997E-3</v>
      </c>
      <c r="D37" s="8">
        <v>83639418</v>
      </c>
      <c r="E37" s="11">
        <v>6.1745714863286E-3</v>
      </c>
      <c r="F37" s="8">
        <v>467259.31843599997</v>
      </c>
      <c r="G37" s="8">
        <v>36.379899999999999</v>
      </c>
      <c r="H37" s="11">
        <v>0.9964385187</v>
      </c>
      <c r="I37" s="8">
        <v>419900</v>
      </c>
      <c r="J37" s="8">
        <v>16</v>
      </c>
      <c r="K37" s="11">
        <v>1</v>
      </c>
      <c r="L37" s="1"/>
    </row>
    <row r="38" spans="1:12" ht="15.6" x14ac:dyDescent="0.6">
      <c r="A38" s="4" t="s">
        <v>40</v>
      </c>
      <c r="B38" s="7">
        <v>161</v>
      </c>
      <c r="C38" s="10">
        <v>6.7223382045929004E-3</v>
      </c>
      <c r="D38" s="7">
        <v>28450419</v>
      </c>
      <c r="E38" s="10">
        <v>2.1003152596243998E-3</v>
      </c>
      <c r="F38" s="7">
        <v>176710.677019</v>
      </c>
      <c r="G38" s="7">
        <v>99.385099999999994</v>
      </c>
      <c r="H38" s="10">
        <v>0.95084605820000001</v>
      </c>
      <c r="I38" s="7">
        <v>145000</v>
      </c>
      <c r="J38" s="7">
        <v>73</v>
      </c>
      <c r="K38" s="10">
        <v>0.97419699999999998</v>
      </c>
      <c r="L38" s="1"/>
    </row>
    <row r="39" spans="1:12" ht="15.6" x14ac:dyDescent="0.6">
      <c r="A39" s="5" t="s">
        <v>47</v>
      </c>
      <c r="B39" s="8">
        <v>161</v>
      </c>
      <c r="C39" s="11">
        <v>6.7223382045929004E-3</v>
      </c>
      <c r="D39" s="8">
        <v>48865364</v>
      </c>
      <c r="E39" s="11">
        <v>3.6074220796642E-3</v>
      </c>
      <c r="F39" s="8">
        <v>303511.57763999997</v>
      </c>
      <c r="G39" s="8">
        <v>34.447200000000002</v>
      </c>
      <c r="H39" s="11">
        <v>0.99211799869999995</v>
      </c>
      <c r="I39" s="8">
        <v>299000</v>
      </c>
      <c r="J39" s="8">
        <v>10</v>
      </c>
      <c r="K39" s="11">
        <v>1</v>
      </c>
      <c r="L39" s="1"/>
    </row>
    <row r="40" spans="1:12" ht="15.6" x14ac:dyDescent="0.6">
      <c r="A40" s="4" t="s">
        <v>48</v>
      </c>
      <c r="B40" s="7">
        <v>159</v>
      </c>
      <c r="C40" s="10">
        <v>6.6388308977035002E-3</v>
      </c>
      <c r="D40" s="7">
        <v>72362270</v>
      </c>
      <c r="E40" s="10">
        <v>5.3420506707496001E-3</v>
      </c>
      <c r="F40" s="7">
        <v>455108.61635199998</v>
      </c>
      <c r="G40" s="7">
        <v>30.2956</v>
      </c>
      <c r="H40" s="10">
        <v>1.0006869185</v>
      </c>
      <c r="I40" s="7">
        <v>401500</v>
      </c>
      <c r="J40" s="7">
        <v>10</v>
      </c>
      <c r="K40" s="10">
        <v>1</v>
      </c>
      <c r="L40" s="1"/>
    </row>
    <row r="41" spans="1:12" ht="15.6" x14ac:dyDescent="0.6">
      <c r="A41" s="5" t="s">
        <v>39</v>
      </c>
      <c r="B41" s="8">
        <v>152</v>
      </c>
      <c r="C41" s="11">
        <v>6.3465553235908002E-3</v>
      </c>
      <c r="D41" s="8">
        <v>59111364</v>
      </c>
      <c r="E41" s="11">
        <v>4.3638197323705996E-3</v>
      </c>
      <c r="F41" s="8">
        <v>388890.55263200001</v>
      </c>
      <c r="G41" s="8">
        <v>31.802600000000002</v>
      </c>
      <c r="H41" s="11">
        <v>0.99327114819999995</v>
      </c>
      <c r="I41" s="8">
        <v>355000</v>
      </c>
      <c r="J41" s="8">
        <v>10</v>
      </c>
      <c r="K41" s="11">
        <v>1</v>
      </c>
      <c r="L41" s="1"/>
    </row>
    <row r="42" spans="1:12" ht="15.6" x14ac:dyDescent="0.6">
      <c r="A42" s="4" t="s">
        <v>58</v>
      </c>
      <c r="B42" s="7">
        <v>146</v>
      </c>
      <c r="C42" s="10">
        <v>6.0960334029228E-3</v>
      </c>
      <c r="D42" s="7">
        <v>55628885</v>
      </c>
      <c r="E42" s="10">
        <v>4.1067302397687E-3</v>
      </c>
      <c r="F42" s="7">
        <v>381019.760274</v>
      </c>
      <c r="G42" s="7">
        <v>41.725999999999999</v>
      </c>
      <c r="H42" s="10">
        <v>0.99347269890000001</v>
      </c>
      <c r="I42" s="7">
        <v>358650</v>
      </c>
      <c r="J42" s="7">
        <v>19.5</v>
      </c>
      <c r="K42" s="10">
        <v>1</v>
      </c>
      <c r="L42" s="1"/>
    </row>
    <row r="43" spans="1:12" ht="15.6" x14ac:dyDescent="0.6">
      <c r="A43" s="5" t="s">
        <v>50</v>
      </c>
      <c r="B43" s="8">
        <v>144</v>
      </c>
      <c r="C43" s="11">
        <v>6.0125260960333998E-3</v>
      </c>
      <c r="D43" s="8">
        <v>76521900</v>
      </c>
      <c r="E43" s="11">
        <v>5.6491299571177003E-3</v>
      </c>
      <c r="F43" s="8">
        <v>531402.08333299996</v>
      </c>
      <c r="G43" s="8">
        <v>28.104199999999999</v>
      </c>
      <c r="H43" s="11">
        <v>0.99819344909999996</v>
      </c>
      <c r="I43" s="8">
        <v>502500</v>
      </c>
      <c r="J43" s="8">
        <v>14.5</v>
      </c>
      <c r="K43" s="11">
        <v>1</v>
      </c>
      <c r="L43" s="1"/>
    </row>
    <row r="44" spans="1:12" ht="15.6" x14ac:dyDescent="0.6">
      <c r="A44" s="4" t="s">
        <v>43</v>
      </c>
      <c r="B44" s="7">
        <v>144</v>
      </c>
      <c r="C44" s="10">
        <v>6.0125260960333998E-3</v>
      </c>
      <c r="D44" s="7">
        <v>66752433</v>
      </c>
      <c r="E44" s="10">
        <v>4.9279117346902003E-3</v>
      </c>
      <c r="F44" s="7">
        <v>463558.5625</v>
      </c>
      <c r="G44" s="7">
        <v>32.027799999999999</v>
      </c>
      <c r="H44" s="10">
        <v>1.0003838942000001</v>
      </c>
      <c r="I44" s="7">
        <v>451177.5</v>
      </c>
      <c r="J44" s="7">
        <v>19</v>
      </c>
      <c r="K44" s="10">
        <v>1</v>
      </c>
      <c r="L44" s="1"/>
    </row>
    <row r="45" spans="1:12" ht="15.6" x14ac:dyDescent="0.6">
      <c r="A45" s="5" t="s">
        <v>53</v>
      </c>
      <c r="B45" s="8">
        <v>140</v>
      </c>
      <c r="C45" s="11">
        <v>5.8455114822547E-3</v>
      </c>
      <c r="D45" s="8">
        <v>32961825</v>
      </c>
      <c r="E45" s="11">
        <v>2.4333639526562998E-3</v>
      </c>
      <c r="F45" s="8">
        <v>235441.607143</v>
      </c>
      <c r="G45" s="8">
        <v>30.685700000000001</v>
      </c>
      <c r="H45" s="11">
        <v>1.0022639099999999</v>
      </c>
      <c r="I45" s="8">
        <v>237000</v>
      </c>
      <c r="J45" s="8">
        <v>18</v>
      </c>
      <c r="K45" s="11">
        <v>1</v>
      </c>
      <c r="L45" s="1"/>
    </row>
    <row r="46" spans="1:12" ht="15.6" x14ac:dyDescent="0.6">
      <c r="A46" s="4" t="s">
        <v>42</v>
      </c>
      <c r="B46" s="7">
        <v>137</v>
      </c>
      <c r="C46" s="10">
        <v>5.7202505219206999E-3</v>
      </c>
      <c r="D46" s="7">
        <v>66336744</v>
      </c>
      <c r="E46" s="10">
        <v>4.8972240337478001E-3</v>
      </c>
      <c r="F46" s="7">
        <v>484209.81021899998</v>
      </c>
      <c r="G46" s="7">
        <v>38.445300000000003</v>
      </c>
      <c r="H46" s="10">
        <v>1.0065130409</v>
      </c>
      <c r="I46" s="7">
        <v>460000</v>
      </c>
      <c r="J46" s="7">
        <v>15</v>
      </c>
      <c r="K46" s="10">
        <v>1</v>
      </c>
      <c r="L46" s="1"/>
    </row>
    <row r="47" spans="1:12" ht="15.6" x14ac:dyDescent="0.6">
      <c r="A47" s="5" t="s">
        <v>71</v>
      </c>
      <c r="B47" s="8">
        <v>130</v>
      </c>
      <c r="C47" s="11">
        <v>5.4279749478079002E-3</v>
      </c>
      <c r="D47" s="8">
        <v>49424599</v>
      </c>
      <c r="E47" s="11">
        <v>3.6487068777622E-3</v>
      </c>
      <c r="F47" s="8">
        <v>380189.223077</v>
      </c>
      <c r="G47" s="8">
        <v>99.1</v>
      </c>
      <c r="H47" s="11">
        <v>0.97291691000000002</v>
      </c>
      <c r="I47" s="8">
        <v>310000</v>
      </c>
      <c r="J47" s="8">
        <v>60.5</v>
      </c>
      <c r="K47" s="11">
        <v>0.98261799999999999</v>
      </c>
      <c r="L47" s="1"/>
    </row>
    <row r="48" spans="1:12" ht="15.6" x14ac:dyDescent="0.6">
      <c r="A48" s="4" t="s">
        <v>57</v>
      </c>
      <c r="B48" s="7">
        <v>129</v>
      </c>
      <c r="C48" s="10">
        <v>5.3862212943633003E-3</v>
      </c>
      <c r="D48" s="7">
        <v>98297885</v>
      </c>
      <c r="E48" s="10">
        <v>7.2567137887951999E-3</v>
      </c>
      <c r="F48" s="7">
        <v>761999.10852699995</v>
      </c>
      <c r="G48" s="7">
        <v>16.403099999999998</v>
      </c>
      <c r="H48" s="10">
        <v>0.99820749590000002</v>
      </c>
      <c r="I48" s="7">
        <v>564900</v>
      </c>
      <c r="J48" s="7">
        <v>7</v>
      </c>
      <c r="K48" s="10">
        <v>1</v>
      </c>
      <c r="L48" s="1"/>
    </row>
    <row r="49" spans="1:12" ht="15.6" x14ac:dyDescent="0.6">
      <c r="A49" s="5" t="s">
        <v>54</v>
      </c>
      <c r="B49" s="8">
        <v>129</v>
      </c>
      <c r="C49" s="11">
        <v>5.3862212943633003E-3</v>
      </c>
      <c r="D49" s="8">
        <v>50412599</v>
      </c>
      <c r="E49" s="11">
        <v>3.7216446955324E-3</v>
      </c>
      <c r="F49" s="8">
        <v>390795.34108500002</v>
      </c>
      <c r="G49" s="8">
        <v>37.914700000000003</v>
      </c>
      <c r="H49" s="11">
        <v>0.99152662609999997</v>
      </c>
      <c r="I49" s="8">
        <v>355000</v>
      </c>
      <c r="J49" s="8">
        <v>15</v>
      </c>
      <c r="K49" s="11">
        <v>1</v>
      </c>
      <c r="L49" s="1"/>
    </row>
    <row r="50" spans="1:12" ht="15.6" x14ac:dyDescent="0.6">
      <c r="A50" s="4" t="s">
        <v>49</v>
      </c>
      <c r="B50" s="7">
        <v>127</v>
      </c>
      <c r="C50" s="10">
        <v>5.3027139874739001E-3</v>
      </c>
      <c r="D50" s="7">
        <v>43880529</v>
      </c>
      <c r="E50" s="10">
        <v>3.2394231051251E-3</v>
      </c>
      <c r="F50" s="7">
        <v>345515.97637799999</v>
      </c>
      <c r="G50" s="7">
        <v>75.149600000000007</v>
      </c>
      <c r="H50" s="10">
        <v>0.95534596930000004</v>
      </c>
      <c r="I50" s="7">
        <v>300000</v>
      </c>
      <c r="J50" s="7">
        <v>37</v>
      </c>
      <c r="K50" s="10">
        <v>0.97619</v>
      </c>
      <c r="L50" s="1"/>
    </row>
    <row r="51" spans="1:12" ht="15.6" x14ac:dyDescent="0.6">
      <c r="A51" s="5" t="s">
        <v>78</v>
      </c>
      <c r="B51" s="8">
        <v>123</v>
      </c>
      <c r="C51" s="11">
        <v>5.1356993736952003E-3</v>
      </c>
      <c r="D51" s="8">
        <v>24809451</v>
      </c>
      <c r="E51" s="11">
        <v>1.8315255222850001E-3</v>
      </c>
      <c r="F51" s="8">
        <v>201702.85365899999</v>
      </c>
      <c r="G51" s="8">
        <v>85.146299999999997</v>
      </c>
      <c r="H51" s="11">
        <v>0.97610472510000001</v>
      </c>
      <c r="I51" s="8">
        <v>180400</v>
      </c>
      <c r="J51" s="8">
        <v>49</v>
      </c>
      <c r="K51" s="11">
        <v>1</v>
      </c>
      <c r="L51" s="1"/>
    </row>
    <row r="52" spans="1:12" ht="15.6" x14ac:dyDescent="0.6">
      <c r="A52" s="4" t="s">
        <v>63</v>
      </c>
      <c r="B52" s="7">
        <v>121</v>
      </c>
      <c r="C52" s="10">
        <v>5.0521920668058001E-3</v>
      </c>
      <c r="D52" s="7">
        <v>43524013</v>
      </c>
      <c r="E52" s="10">
        <v>3.2131037741128E-3</v>
      </c>
      <c r="F52" s="7">
        <v>359702.58677699999</v>
      </c>
      <c r="G52" s="7">
        <v>30.1983</v>
      </c>
      <c r="H52" s="10">
        <v>0.99859634630000005</v>
      </c>
      <c r="I52" s="7">
        <v>313035</v>
      </c>
      <c r="J52" s="7">
        <v>11</v>
      </c>
      <c r="K52" s="10">
        <v>1</v>
      </c>
      <c r="L52" s="1"/>
    </row>
    <row r="53" spans="1:12" ht="15.6" x14ac:dyDescent="0.6">
      <c r="A53" s="5" t="s">
        <v>51</v>
      </c>
      <c r="B53" s="8">
        <v>121</v>
      </c>
      <c r="C53" s="11">
        <v>5.0521920668058001E-3</v>
      </c>
      <c r="D53" s="8">
        <v>57559164</v>
      </c>
      <c r="E53" s="11">
        <v>4.2492305818209999E-3</v>
      </c>
      <c r="F53" s="8">
        <v>475695.57024799997</v>
      </c>
      <c r="G53" s="8">
        <v>37.776899999999998</v>
      </c>
      <c r="H53" s="11">
        <v>0.99758042410000003</v>
      </c>
      <c r="I53" s="8">
        <v>385000</v>
      </c>
      <c r="J53" s="8">
        <v>10</v>
      </c>
      <c r="K53" s="11">
        <v>1</v>
      </c>
      <c r="L53" s="1"/>
    </row>
    <row r="54" spans="1:12" ht="15.6" x14ac:dyDescent="0.6">
      <c r="A54" s="4" t="s">
        <v>73</v>
      </c>
      <c r="B54" s="7">
        <v>114</v>
      </c>
      <c r="C54" s="10">
        <v>4.7599164926931002E-3</v>
      </c>
      <c r="D54" s="7">
        <v>44080772</v>
      </c>
      <c r="E54" s="10">
        <v>3.2542057847239998E-3</v>
      </c>
      <c r="F54" s="7">
        <v>386673.43859600002</v>
      </c>
      <c r="G54" s="7">
        <v>25.798200000000001</v>
      </c>
      <c r="H54" s="10">
        <v>0.98656158540000005</v>
      </c>
      <c r="I54" s="7">
        <v>349975</v>
      </c>
      <c r="J54" s="7">
        <v>12</v>
      </c>
      <c r="K54" s="10">
        <v>1</v>
      </c>
      <c r="L54" s="1"/>
    </row>
    <row r="55" spans="1:12" ht="15.6" x14ac:dyDescent="0.6">
      <c r="A55" s="5" t="s">
        <v>66</v>
      </c>
      <c r="B55" s="8">
        <v>113</v>
      </c>
      <c r="C55" s="11">
        <v>4.7181628392483996E-3</v>
      </c>
      <c r="D55" s="8">
        <v>44755554</v>
      </c>
      <c r="E55" s="11">
        <v>3.3040206901397001E-3</v>
      </c>
      <c r="F55" s="8">
        <v>396066.84955799999</v>
      </c>
      <c r="G55" s="8">
        <v>65.610600000000005</v>
      </c>
      <c r="H55" s="11">
        <v>0.98810203699999999</v>
      </c>
      <c r="I55" s="8">
        <v>325000</v>
      </c>
      <c r="J55" s="8">
        <v>42</v>
      </c>
      <c r="K55" s="11">
        <v>1</v>
      </c>
      <c r="L55" s="1"/>
    </row>
    <row r="56" spans="1:12" ht="15.6" x14ac:dyDescent="0.6">
      <c r="A56" s="4" t="s">
        <v>55</v>
      </c>
      <c r="B56" s="7">
        <v>110</v>
      </c>
      <c r="C56" s="10">
        <v>4.5929018789144004E-3</v>
      </c>
      <c r="D56" s="7">
        <v>36503051</v>
      </c>
      <c r="E56" s="10">
        <v>2.6947903662911002E-3</v>
      </c>
      <c r="F56" s="7">
        <v>331845.91818199999</v>
      </c>
      <c r="G56" s="7">
        <v>26.118200000000002</v>
      </c>
      <c r="H56" s="10">
        <v>1.0083764757</v>
      </c>
      <c r="I56" s="7">
        <v>292500</v>
      </c>
      <c r="J56" s="7">
        <v>6</v>
      </c>
      <c r="K56" s="10">
        <v>1</v>
      </c>
      <c r="L56" s="1"/>
    </row>
    <row r="57" spans="1:12" ht="15.6" x14ac:dyDescent="0.6">
      <c r="A57" s="5" t="s">
        <v>56</v>
      </c>
      <c r="B57" s="8">
        <v>109</v>
      </c>
      <c r="C57" s="11">
        <v>4.5511482254696999E-3</v>
      </c>
      <c r="D57" s="8">
        <v>80043484</v>
      </c>
      <c r="E57" s="11">
        <v>5.9091063255939996E-3</v>
      </c>
      <c r="F57" s="8">
        <v>734343.88990800001</v>
      </c>
      <c r="G57" s="8">
        <v>38.165100000000002</v>
      </c>
      <c r="H57" s="11">
        <v>1.0160821108</v>
      </c>
      <c r="I57" s="8">
        <v>653250</v>
      </c>
      <c r="J57" s="8">
        <v>10</v>
      </c>
      <c r="K57" s="11">
        <v>1</v>
      </c>
      <c r="L57" s="1"/>
    </row>
    <row r="58" spans="1:12" ht="15.6" x14ac:dyDescent="0.6">
      <c r="A58" s="4" t="s">
        <v>25</v>
      </c>
      <c r="B58" s="7">
        <v>104</v>
      </c>
      <c r="C58" s="10">
        <v>4.3423799582463004E-3</v>
      </c>
      <c r="D58" s="7">
        <v>138760995</v>
      </c>
      <c r="E58" s="10">
        <v>1.0243850371383E-2</v>
      </c>
      <c r="F58" s="7">
        <v>1334240.336538</v>
      </c>
      <c r="G58" s="7">
        <v>15.6442</v>
      </c>
      <c r="H58" s="10">
        <v>1.0064892412999999</v>
      </c>
      <c r="I58" s="7">
        <v>1192500</v>
      </c>
      <c r="J58" s="7">
        <v>6</v>
      </c>
      <c r="K58" s="10">
        <v>1</v>
      </c>
      <c r="L58" s="1"/>
    </row>
    <row r="59" spans="1:12" ht="15.6" x14ac:dyDescent="0.6">
      <c r="A59" s="5" t="s">
        <v>83</v>
      </c>
      <c r="B59" s="8">
        <v>104</v>
      </c>
      <c r="C59" s="11">
        <v>4.3423799582463004E-3</v>
      </c>
      <c r="D59" s="8">
        <v>46841860</v>
      </c>
      <c r="E59" s="11">
        <v>3.4580395229745998E-3</v>
      </c>
      <c r="F59" s="8">
        <v>450402.5</v>
      </c>
      <c r="G59" s="8">
        <v>75.394199999999998</v>
      </c>
      <c r="H59" s="11">
        <v>0.98027957529999998</v>
      </c>
      <c r="I59" s="8">
        <v>394995</v>
      </c>
      <c r="J59" s="8">
        <v>56.5</v>
      </c>
      <c r="K59" s="11">
        <v>0.99915949999999998</v>
      </c>
      <c r="L59" s="1"/>
    </row>
    <row r="60" spans="1:12" ht="15.6" x14ac:dyDescent="0.6">
      <c r="A60" s="4" t="s">
        <v>68</v>
      </c>
      <c r="B60" s="7">
        <v>103</v>
      </c>
      <c r="C60" s="10">
        <v>4.3006263048016996E-3</v>
      </c>
      <c r="D60" s="7">
        <v>29494850</v>
      </c>
      <c r="E60" s="10">
        <v>2.1774190227332999E-3</v>
      </c>
      <c r="F60" s="7">
        <v>286357.76698999997</v>
      </c>
      <c r="G60" s="7">
        <v>32.475700000000003</v>
      </c>
      <c r="H60" s="10">
        <v>0.99126682850000003</v>
      </c>
      <c r="I60" s="7">
        <v>238000</v>
      </c>
      <c r="J60" s="7">
        <v>12</v>
      </c>
      <c r="K60" s="10">
        <v>1</v>
      </c>
      <c r="L60" s="1"/>
    </row>
    <row r="61" spans="1:12" ht="15.6" x14ac:dyDescent="0.6">
      <c r="A61" s="5" t="s">
        <v>69</v>
      </c>
      <c r="B61" s="8">
        <v>98</v>
      </c>
      <c r="C61" s="11">
        <v>4.0918580375783001E-3</v>
      </c>
      <c r="D61" s="8">
        <v>57825124</v>
      </c>
      <c r="E61" s="11">
        <v>4.2688647336571999E-3</v>
      </c>
      <c r="F61" s="8">
        <v>590052.285714</v>
      </c>
      <c r="G61" s="8">
        <v>23.846900000000002</v>
      </c>
      <c r="H61" s="11">
        <v>1.0027534363999999</v>
      </c>
      <c r="I61" s="8">
        <v>494500</v>
      </c>
      <c r="J61" s="8">
        <v>8</v>
      </c>
      <c r="K61" s="11">
        <v>1</v>
      </c>
      <c r="L61" s="1"/>
    </row>
    <row r="62" spans="1:12" ht="15.6" x14ac:dyDescent="0.6">
      <c r="A62" s="4" t="s">
        <v>79</v>
      </c>
      <c r="B62" s="7">
        <v>88</v>
      </c>
      <c r="C62" s="10">
        <v>3.6743215031314999E-3</v>
      </c>
      <c r="D62" s="7">
        <v>22570100</v>
      </c>
      <c r="E62" s="10">
        <v>1.6662083409474001E-3</v>
      </c>
      <c r="F62" s="7">
        <v>256478.40909100001</v>
      </c>
      <c r="G62" s="7">
        <v>85.409099999999995</v>
      </c>
      <c r="H62" s="10">
        <v>0.95899209029999999</v>
      </c>
      <c r="I62" s="7">
        <v>215000</v>
      </c>
      <c r="J62" s="7">
        <v>72</v>
      </c>
      <c r="K62" s="10">
        <v>0.97758049999999996</v>
      </c>
      <c r="L62" s="1"/>
    </row>
    <row r="63" spans="1:12" ht="15.6" x14ac:dyDescent="0.6">
      <c r="A63" s="5" t="s">
        <v>81</v>
      </c>
      <c r="B63" s="8">
        <v>87</v>
      </c>
      <c r="C63" s="11">
        <v>3.6325678496867998E-3</v>
      </c>
      <c r="D63" s="8">
        <v>23204229</v>
      </c>
      <c r="E63" s="11">
        <v>1.7130220913976E-3</v>
      </c>
      <c r="F63" s="8">
        <v>266715.27586200001</v>
      </c>
      <c r="G63" s="8">
        <v>35.344799999999999</v>
      </c>
      <c r="H63" s="11">
        <v>0.98568293640000004</v>
      </c>
      <c r="I63" s="8">
        <v>250000</v>
      </c>
      <c r="J63" s="8">
        <v>14</v>
      </c>
      <c r="K63" s="11">
        <v>1</v>
      </c>
      <c r="L63" s="1"/>
    </row>
    <row r="64" spans="1:12" ht="15.6" x14ac:dyDescent="0.6">
      <c r="A64" s="4" t="s">
        <v>94</v>
      </c>
      <c r="B64" s="7">
        <v>86</v>
      </c>
      <c r="C64" s="10">
        <v>3.5908141962421999E-3</v>
      </c>
      <c r="D64" s="7">
        <v>38397465</v>
      </c>
      <c r="E64" s="10">
        <v>2.8346430212642E-3</v>
      </c>
      <c r="F64" s="7">
        <v>446482.15116299997</v>
      </c>
      <c r="G64" s="7">
        <v>25.5349</v>
      </c>
      <c r="H64" s="10">
        <v>1.0016148851</v>
      </c>
      <c r="I64" s="7">
        <v>432432</v>
      </c>
      <c r="J64" s="7">
        <v>6</v>
      </c>
      <c r="K64" s="10">
        <v>1</v>
      </c>
      <c r="L64" s="1"/>
    </row>
    <row r="65" spans="1:12" ht="15.6" x14ac:dyDescent="0.6">
      <c r="A65" s="5" t="s">
        <v>80</v>
      </c>
      <c r="B65" s="8">
        <v>83</v>
      </c>
      <c r="C65" s="11">
        <v>3.4655532359081E-3</v>
      </c>
      <c r="D65" s="8">
        <v>26762565</v>
      </c>
      <c r="E65" s="11">
        <v>1.9757116285770001E-3</v>
      </c>
      <c r="F65" s="8">
        <v>322440.54216900002</v>
      </c>
      <c r="G65" s="8">
        <v>28.759</v>
      </c>
      <c r="H65" s="11">
        <v>0.9907553295</v>
      </c>
      <c r="I65" s="8">
        <v>285000</v>
      </c>
      <c r="J65" s="8">
        <v>7</v>
      </c>
      <c r="K65" s="11">
        <v>1</v>
      </c>
      <c r="L65" s="1"/>
    </row>
    <row r="66" spans="1:12" ht="15.6" x14ac:dyDescent="0.6">
      <c r="A66" s="4" t="s">
        <v>59</v>
      </c>
      <c r="B66" s="7">
        <v>83</v>
      </c>
      <c r="C66" s="10">
        <v>3.4655532359081E-3</v>
      </c>
      <c r="D66" s="7">
        <v>41332243</v>
      </c>
      <c r="E66" s="10">
        <v>3.0512991983493E-3</v>
      </c>
      <c r="F66" s="7">
        <v>497978.83132499998</v>
      </c>
      <c r="G66" s="7">
        <v>29.8675</v>
      </c>
      <c r="H66" s="10">
        <v>0.99816504169999998</v>
      </c>
      <c r="I66" s="7">
        <v>475000</v>
      </c>
      <c r="J66" s="7">
        <v>10</v>
      </c>
      <c r="K66" s="10">
        <v>1</v>
      </c>
      <c r="L66" s="1"/>
    </row>
    <row r="67" spans="1:12" ht="15.6" x14ac:dyDescent="0.6">
      <c r="A67" s="5" t="s">
        <v>70</v>
      </c>
      <c r="B67" s="8">
        <v>82</v>
      </c>
      <c r="C67" s="11">
        <v>3.4237995824635001E-3</v>
      </c>
      <c r="D67" s="8">
        <v>25271260</v>
      </c>
      <c r="E67" s="11">
        <v>1.8656179723726999E-3</v>
      </c>
      <c r="F67" s="8">
        <v>308186.09756099997</v>
      </c>
      <c r="G67" s="8">
        <v>28.122</v>
      </c>
      <c r="H67" s="11">
        <v>1.0022104600999999</v>
      </c>
      <c r="I67" s="8">
        <v>303500</v>
      </c>
      <c r="J67" s="8">
        <v>10.5</v>
      </c>
      <c r="K67" s="11">
        <v>1</v>
      </c>
      <c r="L67" s="1"/>
    </row>
    <row r="68" spans="1:12" ht="15.6" x14ac:dyDescent="0.6">
      <c r="A68" s="4" t="s">
        <v>74</v>
      </c>
      <c r="B68" s="7">
        <v>82</v>
      </c>
      <c r="C68" s="10">
        <v>3.4237995824635001E-3</v>
      </c>
      <c r="D68" s="7">
        <v>47401320</v>
      </c>
      <c r="E68" s="10">
        <v>3.4993409314055001E-3</v>
      </c>
      <c r="F68" s="7">
        <v>578064.87804900005</v>
      </c>
      <c r="G68" s="7">
        <v>69.4756</v>
      </c>
      <c r="H68" s="10">
        <v>0.98364512530000003</v>
      </c>
      <c r="I68" s="7">
        <v>366647.5</v>
      </c>
      <c r="J68" s="7">
        <v>49.5</v>
      </c>
      <c r="K68" s="10">
        <v>1</v>
      </c>
      <c r="L68" s="1"/>
    </row>
    <row r="69" spans="1:12" ht="15.6" x14ac:dyDescent="0.6">
      <c r="A69" s="5" t="s">
        <v>61</v>
      </c>
      <c r="B69" s="8">
        <v>82</v>
      </c>
      <c r="C69" s="11">
        <v>3.4237995824635001E-3</v>
      </c>
      <c r="D69" s="8">
        <v>20001546</v>
      </c>
      <c r="E69" s="11">
        <v>1.4765881753755E-3</v>
      </c>
      <c r="F69" s="8">
        <v>243921.29268300001</v>
      </c>
      <c r="G69" s="8">
        <v>29.1463</v>
      </c>
      <c r="H69" s="11">
        <v>1.0037403414999999</v>
      </c>
      <c r="I69" s="8">
        <v>241000</v>
      </c>
      <c r="J69" s="8">
        <v>9</v>
      </c>
      <c r="K69" s="11">
        <v>1.0074274999999999</v>
      </c>
      <c r="L69" s="1"/>
    </row>
    <row r="70" spans="1:12" ht="15.6" x14ac:dyDescent="0.6">
      <c r="A70" s="4" t="s">
        <v>110</v>
      </c>
      <c r="B70" s="7">
        <v>81</v>
      </c>
      <c r="C70" s="10">
        <v>3.3820459290188E-3</v>
      </c>
      <c r="D70" s="7">
        <v>17547191</v>
      </c>
      <c r="E70" s="10">
        <v>1.2953986027708E-3</v>
      </c>
      <c r="F70" s="7">
        <v>216631.987654</v>
      </c>
      <c r="G70" s="7">
        <v>86.172799999999995</v>
      </c>
      <c r="H70" s="10">
        <v>0.95766689530000004</v>
      </c>
      <c r="I70" s="7">
        <v>208900</v>
      </c>
      <c r="J70" s="7">
        <v>49</v>
      </c>
      <c r="K70" s="10">
        <v>0.98087000000000002</v>
      </c>
      <c r="L70" s="1"/>
    </row>
    <row r="71" spans="1:12" ht="15.6" x14ac:dyDescent="0.6">
      <c r="A71" s="5" t="s">
        <v>76</v>
      </c>
      <c r="B71" s="8">
        <v>81</v>
      </c>
      <c r="C71" s="11">
        <v>3.3820459290188E-3</v>
      </c>
      <c r="D71" s="8">
        <v>29942339</v>
      </c>
      <c r="E71" s="11">
        <v>2.2104543174055E-3</v>
      </c>
      <c r="F71" s="8">
        <v>369658.50617299997</v>
      </c>
      <c r="G71" s="8">
        <v>21.592600000000001</v>
      </c>
      <c r="H71" s="11">
        <v>0.99714106769999999</v>
      </c>
      <c r="I71" s="8">
        <v>372000</v>
      </c>
      <c r="J71" s="8">
        <v>9</v>
      </c>
      <c r="K71" s="11">
        <v>1</v>
      </c>
      <c r="L71" s="1"/>
    </row>
    <row r="72" spans="1:12" ht="15.6" x14ac:dyDescent="0.6">
      <c r="A72" s="4" t="s">
        <v>91</v>
      </c>
      <c r="B72" s="7">
        <v>79</v>
      </c>
      <c r="C72" s="10">
        <v>3.2985386221293998E-3</v>
      </c>
      <c r="D72" s="7">
        <v>19497249</v>
      </c>
      <c r="E72" s="10">
        <v>1.4393591038289E-3</v>
      </c>
      <c r="F72" s="7">
        <v>246800.620253</v>
      </c>
      <c r="G72" s="7">
        <v>101.18989999999999</v>
      </c>
      <c r="H72" s="10">
        <v>0.96866770980000005</v>
      </c>
      <c r="I72" s="7">
        <v>195000</v>
      </c>
      <c r="J72" s="7">
        <v>76</v>
      </c>
      <c r="K72" s="10">
        <v>0.98064499999999999</v>
      </c>
      <c r="L72" s="1"/>
    </row>
    <row r="73" spans="1:12" ht="15.6" x14ac:dyDescent="0.6">
      <c r="A73" s="5" t="s">
        <v>112</v>
      </c>
      <c r="B73" s="8">
        <v>78</v>
      </c>
      <c r="C73" s="11">
        <v>3.2567849686847999E-3</v>
      </c>
      <c r="D73" s="8">
        <v>40688545</v>
      </c>
      <c r="E73" s="11">
        <v>3.0037790288927999E-3</v>
      </c>
      <c r="F73" s="8">
        <v>521648.01282100001</v>
      </c>
      <c r="G73" s="8">
        <v>32.807699999999997</v>
      </c>
      <c r="H73" s="11">
        <v>1.0072096971</v>
      </c>
      <c r="I73" s="8">
        <v>523037.5</v>
      </c>
      <c r="J73" s="8">
        <v>19</v>
      </c>
      <c r="K73" s="11">
        <v>1</v>
      </c>
      <c r="L73" s="1"/>
    </row>
    <row r="74" spans="1:12" ht="15.6" x14ac:dyDescent="0.6">
      <c r="A74" s="4" t="s">
        <v>77</v>
      </c>
      <c r="B74" s="7">
        <v>77</v>
      </c>
      <c r="C74" s="10">
        <v>3.2150313152400998E-3</v>
      </c>
      <c r="D74" s="7">
        <v>34922842</v>
      </c>
      <c r="E74" s="10">
        <v>2.5781334876668E-3</v>
      </c>
      <c r="F74" s="7">
        <v>453543.40259700001</v>
      </c>
      <c r="G74" s="7">
        <v>18.766200000000001</v>
      </c>
      <c r="H74" s="10">
        <v>0.99147036209999995</v>
      </c>
      <c r="I74" s="7">
        <v>400000</v>
      </c>
      <c r="J74" s="7">
        <v>8</v>
      </c>
      <c r="K74" s="10">
        <v>1</v>
      </c>
      <c r="L74" s="1"/>
    </row>
    <row r="75" spans="1:12" ht="15.6" x14ac:dyDescent="0.6">
      <c r="A75" s="5" t="s">
        <v>84</v>
      </c>
      <c r="B75" s="8">
        <v>72</v>
      </c>
      <c r="C75" s="11">
        <v>3.0062630480166999E-3</v>
      </c>
      <c r="D75" s="8">
        <v>37132975</v>
      </c>
      <c r="E75" s="11">
        <v>2.7412936880735999E-3</v>
      </c>
      <c r="F75" s="8">
        <v>515735.76388899999</v>
      </c>
      <c r="G75" s="8">
        <v>74.027799999999999</v>
      </c>
      <c r="H75" s="11">
        <v>1.0015292323</v>
      </c>
      <c r="I75" s="8">
        <v>415000</v>
      </c>
      <c r="J75" s="8">
        <v>61.5</v>
      </c>
      <c r="K75" s="11">
        <v>0.98875999999999997</v>
      </c>
      <c r="L75" s="1"/>
    </row>
    <row r="76" spans="1:12" ht="15.6" x14ac:dyDescent="0.6">
      <c r="A76" s="4" t="s">
        <v>67</v>
      </c>
      <c r="B76" s="7">
        <v>70</v>
      </c>
      <c r="C76" s="10">
        <v>2.9227557411273001E-3</v>
      </c>
      <c r="D76" s="7">
        <v>26723300</v>
      </c>
      <c r="E76" s="10">
        <v>1.9728129409103002E-3</v>
      </c>
      <c r="F76" s="7">
        <v>381761.428571</v>
      </c>
      <c r="G76" s="7">
        <v>43.185699999999997</v>
      </c>
      <c r="H76" s="10">
        <v>0.9895400889</v>
      </c>
      <c r="I76" s="7">
        <v>325000</v>
      </c>
      <c r="J76" s="7">
        <v>13</v>
      </c>
      <c r="K76" s="10">
        <v>1</v>
      </c>
      <c r="L76" s="1"/>
    </row>
    <row r="77" spans="1:12" ht="15.6" x14ac:dyDescent="0.6">
      <c r="A77" s="5" t="s">
        <v>82</v>
      </c>
      <c r="B77" s="8">
        <v>69</v>
      </c>
      <c r="C77" s="11">
        <v>2.8810020876827002E-3</v>
      </c>
      <c r="D77" s="8">
        <v>20219250</v>
      </c>
      <c r="E77" s="11">
        <v>1.4926598906384999E-3</v>
      </c>
      <c r="F77" s="8">
        <v>293032.60869600001</v>
      </c>
      <c r="G77" s="8">
        <v>22.594200000000001</v>
      </c>
      <c r="H77" s="11">
        <v>0.99863412139999996</v>
      </c>
      <c r="I77" s="8">
        <v>289700</v>
      </c>
      <c r="J77" s="8">
        <v>11</v>
      </c>
      <c r="K77" s="11">
        <v>1</v>
      </c>
      <c r="L77" s="1"/>
    </row>
    <row r="78" spans="1:12" ht="15.6" x14ac:dyDescent="0.6">
      <c r="A78" s="4" t="s">
        <v>64</v>
      </c>
      <c r="B78" s="7">
        <v>69</v>
      </c>
      <c r="C78" s="10">
        <v>2.8810020876827002E-3</v>
      </c>
      <c r="D78" s="7">
        <v>25497149</v>
      </c>
      <c r="E78" s="10">
        <v>1.8822939346381999E-3</v>
      </c>
      <c r="F78" s="7">
        <v>369523.89855099999</v>
      </c>
      <c r="G78" s="7">
        <v>52.956499999999998</v>
      </c>
      <c r="H78" s="10">
        <v>0.99192157550000004</v>
      </c>
      <c r="I78" s="7">
        <v>373080</v>
      </c>
      <c r="J78" s="7">
        <v>14</v>
      </c>
      <c r="K78" s="10">
        <v>1</v>
      </c>
      <c r="L78" s="1"/>
    </row>
    <row r="79" spans="1:12" ht="15.6" x14ac:dyDescent="0.6">
      <c r="A79" s="5" t="s">
        <v>85</v>
      </c>
      <c r="B79" s="8">
        <v>67</v>
      </c>
      <c r="C79" s="11">
        <v>2.7974947807933E-3</v>
      </c>
      <c r="D79" s="8">
        <v>17534850</v>
      </c>
      <c r="E79" s="11">
        <v>1.294487544462E-3</v>
      </c>
      <c r="F79" s="8">
        <v>261714.17910400001</v>
      </c>
      <c r="G79" s="8">
        <v>83.029899999999998</v>
      </c>
      <c r="H79" s="11">
        <v>0.96033305030000005</v>
      </c>
      <c r="I79" s="8">
        <v>235000</v>
      </c>
      <c r="J79" s="8">
        <v>56</v>
      </c>
      <c r="K79" s="11">
        <v>0.97777800000000004</v>
      </c>
      <c r="L79" s="1"/>
    </row>
    <row r="80" spans="1:12" ht="15.6" x14ac:dyDescent="0.6">
      <c r="A80" s="4" t="s">
        <v>62</v>
      </c>
      <c r="B80" s="7">
        <v>63</v>
      </c>
      <c r="C80" s="10">
        <v>2.6304801670146002E-3</v>
      </c>
      <c r="D80" s="7">
        <v>21707165</v>
      </c>
      <c r="E80" s="10">
        <v>1.6025032844924E-3</v>
      </c>
      <c r="F80" s="7">
        <v>344558.17460299999</v>
      </c>
      <c r="G80" s="7">
        <v>11.238099999999999</v>
      </c>
      <c r="H80" s="10">
        <v>1.0088081416000001</v>
      </c>
      <c r="I80" s="7">
        <v>302500</v>
      </c>
      <c r="J80" s="7">
        <v>5</v>
      </c>
      <c r="K80" s="10">
        <v>1.003236</v>
      </c>
      <c r="L80" s="1"/>
    </row>
    <row r="81" spans="1:12" ht="15.6" x14ac:dyDescent="0.6">
      <c r="A81" s="5" t="s">
        <v>75</v>
      </c>
      <c r="B81" s="8">
        <v>59</v>
      </c>
      <c r="C81" s="11">
        <v>2.4634655532359E-3</v>
      </c>
      <c r="D81" s="8">
        <v>38277555</v>
      </c>
      <c r="E81" s="11">
        <v>2.8257908211338002E-3</v>
      </c>
      <c r="F81" s="8">
        <v>648772.11864400003</v>
      </c>
      <c r="G81" s="8">
        <v>24.830500000000001</v>
      </c>
      <c r="H81" s="11">
        <v>0.99752324660000002</v>
      </c>
      <c r="I81" s="8">
        <v>525000</v>
      </c>
      <c r="J81" s="8">
        <v>5</v>
      </c>
      <c r="K81" s="11">
        <v>1</v>
      </c>
      <c r="L81" s="1"/>
    </row>
    <row r="82" spans="1:12" ht="15.6" x14ac:dyDescent="0.6">
      <c r="A82" s="4" t="s">
        <v>96</v>
      </c>
      <c r="B82" s="7">
        <v>59</v>
      </c>
      <c r="C82" s="10">
        <v>2.4634655532359E-3</v>
      </c>
      <c r="D82" s="7">
        <v>30252584</v>
      </c>
      <c r="E82" s="10">
        <v>2.2333577518935002E-3</v>
      </c>
      <c r="F82" s="7">
        <v>512755.66101699998</v>
      </c>
      <c r="G82" s="7">
        <v>48.389800000000001</v>
      </c>
      <c r="H82" s="10">
        <v>0.99209186650000003</v>
      </c>
      <c r="I82" s="7">
        <v>395000</v>
      </c>
      <c r="J82" s="7">
        <v>34</v>
      </c>
      <c r="K82" s="10">
        <v>1</v>
      </c>
      <c r="L82" s="1"/>
    </row>
    <row r="83" spans="1:12" ht="15.6" x14ac:dyDescent="0.6">
      <c r="A83" s="5" t="s">
        <v>100</v>
      </c>
      <c r="B83" s="8">
        <v>59</v>
      </c>
      <c r="C83" s="11">
        <v>2.4634655532359E-3</v>
      </c>
      <c r="D83" s="8">
        <v>14835882</v>
      </c>
      <c r="E83" s="11">
        <v>1.0952397345918E-3</v>
      </c>
      <c r="F83" s="8">
        <v>251455.62711900001</v>
      </c>
      <c r="G83" s="8">
        <v>44.949199999999998</v>
      </c>
      <c r="H83" s="11">
        <v>0.97118064699999995</v>
      </c>
      <c r="I83" s="8">
        <v>224950</v>
      </c>
      <c r="J83" s="8">
        <v>24</v>
      </c>
      <c r="K83" s="11">
        <v>1</v>
      </c>
      <c r="L83" s="1"/>
    </row>
    <row r="84" spans="1:12" ht="15.6" x14ac:dyDescent="0.6">
      <c r="A84" s="4" t="s">
        <v>86</v>
      </c>
      <c r="B84" s="7">
        <v>59</v>
      </c>
      <c r="C84" s="10">
        <v>2.4634655532359E-3</v>
      </c>
      <c r="D84" s="7">
        <v>16762450</v>
      </c>
      <c r="E84" s="10">
        <v>1.2374661168853E-3</v>
      </c>
      <c r="F84" s="7">
        <v>284109.32203400001</v>
      </c>
      <c r="G84" s="7">
        <v>93.423699999999997</v>
      </c>
      <c r="H84" s="10">
        <v>0.9774755383</v>
      </c>
      <c r="I84" s="7">
        <v>275000</v>
      </c>
      <c r="J84" s="7">
        <v>30</v>
      </c>
      <c r="K84" s="10">
        <v>1</v>
      </c>
      <c r="L84" s="1"/>
    </row>
    <row r="85" spans="1:12" ht="15.6" x14ac:dyDescent="0.6">
      <c r="A85" s="5" t="s">
        <v>72</v>
      </c>
      <c r="B85" s="8">
        <v>57</v>
      </c>
      <c r="C85" s="11">
        <v>2.3799582463466E-3</v>
      </c>
      <c r="D85" s="8">
        <v>10696902</v>
      </c>
      <c r="E85" s="11">
        <v>7.8968490767417001E-4</v>
      </c>
      <c r="F85" s="8">
        <v>187664.94736799999</v>
      </c>
      <c r="G85" s="8">
        <v>74.315799999999996</v>
      </c>
      <c r="H85" s="11">
        <v>0.97183076430000004</v>
      </c>
      <c r="I85" s="8">
        <v>165000</v>
      </c>
      <c r="J85" s="8">
        <v>50</v>
      </c>
      <c r="K85" s="11">
        <v>0.972194</v>
      </c>
      <c r="L85" s="1"/>
    </row>
    <row r="86" spans="1:12" ht="15.6" x14ac:dyDescent="0.6">
      <c r="A86" s="4" t="s">
        <v>155</v>
      </c>
      <c r="B86" s="7">
        <v>56</v>
      </c>
      <c r="C86" s="10">
        <v>2.3382045929018999E-3</v>
      </c>
      <c r="D86" s="7">
        <v>9021800</v>
      </c>
      <c r="E86" s="10">
        <v>6.6602267647725003E-4</v>
      </c>
      <c r="F86" s="7">
        <v>161103.571429</v>
      </c>
      <c r="G86" s="7">
        <v>106.16070000000001</v>
      </c>
      <c r="H86" s="10">
        <v>0.93079621589999995</v>
      </c>
      <c r="I86" s="7">
        <v>135000</v>
      </c>
      <c r="J86" s="7">
        <v>66</v>
      </c>
      <c r="K86" s="10">
        <v>0.945191</v>
      </c>
      <c r="L86" s="1"/>
    </row>
    <row r="87" spans="1:12" ht="15.6" x14ac:dyDescent="0.6">
      <c r="A87" s="5" t="s">
        <v>97</v>
      </c>
      <c r="B87" s="8">
        <v>56</v>
      </c>
      <c r="C87" s="11">
        <v>2.3382045929018999E-3</v>
      </c>
      <c r="D87" s="8">
        <v>18426919</v>
      </c>
      <c r="E87" s="11">
        <v>1.3603433806568001E-3</v>
      </c>
      <c r="F87" s="8">
        <v>329052.125</v>
      </c>
      <c r="G87" s="8">
        <v>89.160700000000006</v>
      </c>
      <c r="H87" s="11">
        <v>0.96716084999999996</v>
      </c>
      <c r="I87" s="8">
        <v>309950</v>
      </c>
      <c r="J87" s="8">
        <v>62</v>
      </c>
      <c r="K87" s="11">
        <v>0.98124449999999996</v>
      </c>
      <c r="L87" s="1"/>
    </row>
    <row r="88" spans="1:12" ht="15.6" x14ac:dyDescent="0.6">
      <c r="A88" s="4" t="s">
        <v>103</v>
      </c>
      <c r="B88" s="7">
        <v>55</v>
      </c>
      <c r="C88" s="10">
        <v>2.2964509394572002E-3</v>
      </c>
      <c r="D88" s="7">
        <v>21908809</v>
      </c>
      <c r="E88" s="10">
        <v>1.6173893910981E-3</v>
      </c>
      <c r="F88" s="7">
        <v>398341.98181799997</v>
      </c>
      <c r="G88" s="7">
        <v>23.2727</v>
      </c>
      <c r="H88" s="10">
        <v>0.99363989279999998</v>
      </c>
      <c r="I88" s="7">
        <v>360000</v>
      </c>
      <c r="J88" s="7">
        <v>10</v>
      </c>
      <c r="K88" s="10">
        <v>1</v>
      </c>
      <c r="L88" s="1"/>
    </row>
    <row r="89" spans="1:12" ht="15.6" x14ac:dyDescent="0.6">
      <c r="A89" s="5" t="s">
        <v>106</v>
      </c>
      <c r="B89" s="8">
        <v>54</v>
      </c>
      <c r="C89" s="11">
        <v>2.2546972860125001E-3</v>
      </c>
      <c r="D89" s="8">
        <v>15292800</v>
      </c>
      <c r="E89" s="11">
        <v>1.1289711129521E-3</v>
      </c>
      <c r="F89" s="8">
        <v>283200</v>
      </c>
      <c r="G89" s="8">
        <v>33.907400000000003</v>
      </c>
      <c r="H89" s="11">
        <v>1.005656243</v>
      </c>
      <c r="I89" s="8">
        <v>289950</v>
      </c>
      <c r="J89" s="8">
        <v>19</v>
      </c>
      <c r="K89" s="11">
        <v>1</v>
      </c>
      <c r="L89" s="1"/>
    </row>
    <row r="90" spans="1:12" ht="15.6" x14ac:dyDescent="0.6">
      <c r="A90" s="4" t="s">
        <v>93</v>
      </c>
      <c r="B90" s="7">
        <v>53</v>
      </c>
      <c r="C90" s="10">
        <v>2.2129436325678E-3</v>
      </c>
      <c r="D90" s="7">
        <v>9752522</v>
      </c>
      <c r="E90" s="10">
        <v>7.1996727979374998E-4</v>
      </c>
      <c r="F90" s="7">
        <v>184009.84905700001</v>
      </c>
      <c r="G90" s="7">
        <v>79.7547</v>
      </c>
      <c r="H90" s="10">
        <v>0.9355151759</v>
      </c>
      <c r="I90" s="7">
        <v>160000</v>
      </c>
      <c r="J90" s="7">
        <v>65</v>
      </c>
      <c r="K90" s="10">
        <v>0.97499999999999998</v>
      </c>
      <c r="L90" s="1"/>
    </row>
    <row r="91" spans="1:12" ht="15.6" x14ac:dyDescent="0.6">
      <c r="A91" s="5" t="s">
        <v>60</v>
      </c>
      <c r="B91" s="8">
        <v>53</v>
      </c>
      <c r="C91" s="11">
        <v>2.2129436325678E-3</v>
      </c>
      <c r="D91" s="8">
        <v>33255200</v>
      </c>
      <c r="E91" s="11">
        <v>2.4550219812881999E-3</v>
      </c>
      <c r="F91" s="8">
        <v>627456.60377399996</v>
      </c>
      <c r="G91" s="8">
        <v>10.735799999999999</v>
      </c>
      <c r="H91" s="11">
        <v>1.0083852337999999</v>
      </c>
      <c r="I91" s="8">
        <v>624000</v>
      </c>
      <c r="J91" s="8">
        <v>7</v>
      </c>
      <c r="K91" s="11">
        <v>1</v>
      </c>
      <c r="L91" s="1"/>
    </row>
    <row r="92" spans="1:12" ht="15.6" x14ac:dyDescent="0.6">
      <c r="A92" s="4" t="s">
        <v>88</v>
      </c>
      <c r="B92" s="7">
        <v>52</v>
      </c>
      <c r="C92" s="10">
        <v>2.1711899791232001E-3</v>
      </c>
      <c r="D92" s="7">
        <v>8569000</v>
      </c>
      <c r="E92" s="10">
        <v>6.3259530412262998E-4</v>
      </c>
      <c r="F92" s="7">
        <v>164788.461538</v>
      </c>
      <c r="G92" s="7">
        <v>111.1538</v>
      </c>
      <c r="H92" s="10">
        <v>0.92374822940000001</v>
      </c>
      <c r="I92" s="7">
        <v>156750</v>
      </c>
      <c r="J92" s="7">
        <v>64.5</v>
      </c>
      <c r="K92" s="10">
        <v>0.94149300000000002</v>
      </c>
      <c r="L92" s="1"/>
    </row>
    <row r="93" spans="1:12" ht="15.6" x14ac:dyDescent="0.6">
      <c r="A93" s="5" t="s">
        <v>104</v>
      </c>
      <c r="B93" s="8">
        <v>51</v>
      </c>
      <c r="C93" s="11">
        <v>2.1294363256785E-3</v>
      </c>
      <c r="D93" s="8">
        <v>13079770</v>
      </c>
      <c r="E93" s="11">
        <v>9.6559704527996999E-4</v>
      </c>
      <c r="F93" s="8">
        <v>256466.078431</v>
      </c>
      <c r="G93" s="8">
        <v>66.117599999999996</v>
      </c>
      <c r="H93" s="11">
        <v>0.97959418870000003</v>
      </c>
      <c r="I93" s="8">
        <v>270000</v>
      </c>
      <c r="J93" s="8">
        <v>58</v>
      </c>
      <c r="K93" s="11">
        <v>1</v>
      </c>
      <c r="L93" s="1"/>
    </row>
    <row r="94" spans="1:12" ht="15.6" x14ac:dyDescent="0.6">
      <c r="A94" s="4" t="s">
        <v>121</v>
      </c>
      <c r="B94" s="7">
        <v>51</v>
      </c>
      <c r="C94" s="10">
        <v>2.1294363256785E-3</v>
      </c>
      <c r="D94" s="7">
        <v>12254670</v>
      </c>
      <c r="E94" s="10">
        <v>9.0468510859756E-4</v>
      </c>
      <c r="F94" s="7">
        <v>240287.64705900001</v>
      </c>
      <c r="G94" s="7">
        <v>81.058800000000005</v>
      </c>
      <c r="H94" s="10">
        <v>0.96250330029999998</v>
      </c>
      <c r="I94" s="7">
        <v>233000</v>
      </c>
      <c r="J94" s="7">
        <v>61</v>
      </c>
      <c r="K94" s="10">
        <v>0.97209299999999998</v>
      </c>
      <c r="L94" s="1"/>
    </row>
    <row r="95" spans="1:12" ht="15.6" x14ac:dyDescent="0.6">
      <c r="A95" s="5" t="s">
        <v>90</v>
      </c>
      <c r="B95" s="8">
        <v>49</v>
      </c>
      <c r="C95" s="11">
        <v>2.0459290187891002E-3</v>
      </c>
      <c r="D95" s="8">
        <v>22505881</v>
      </c>
      <c r="E95" s="11">
        <v>1.661467456616E-3</v>
      </c>
      <c r="F95" s="8">
        <v>459303.69387800002</v>
      </c>
      <c r="G95" s="8">
        <v>104.3878</v>
      </c>
      <c r="H95" s="11">
        <v>0.95598854649999998</v>
      </c>
      <c r="I95" s="8">
        <v>415000</v>
      </c>
      <c r="J95" s="8">
        <v>53</v>
      </c>
      <c r="K95" s="11">
        <v>0.98823499999999997</v>
      </c>
      <c r="L95" s="1"/>
    </row>
    <row r="96" spans="1:12" ht="15.6" x14ac:dyDescent="0.6">
      <c r="A96" s="4" t="s">
        <v>65</v>
      </c>
      <c r="B96" s="7">
        <v>49</v>
      </c>
      <c r="C96" s="10">
        <v>2.0459290187891002E-3</v>
      </c>
      <c r="D96" s="7">
        <v>27178900</v>
      </c>
      <c r="E96" s="10">
        <v>2.0064470196310999E-3</v>
      </c>
      <c r="F96" s="7">
        <v>554671.428571</v>
      </c>
      <c r="G96" s="7">
        <v>24.285699999999999</v>
      </c>
      <c r="H96" s="10">
        <v>0.98124759230000003</v>
      </c>
      <c r="I96" s="7">
        <v>500000</v>
      </c>
      <c r="J96" s="7">
        <v>11</v>
      </c>
      <c r="K96" s="10">
        <v>0.98021599999999998</v>
      </c>
      <c r="L96" s="1"/>
    </row>
    <row r="97" spans="1:12" ht="15.6" x14ac:dyDescent="0.6">
      <c r="A97" s="5" t="s">
        <v>98</v>
      </c>
      <c r="B97" s="8">
        <v>49</v>
      </c>
      <c r="C97" s="11">
        <v>2.0459290187891002E-3</v>
      </c>
      <c r="D97" s="8">
        <v>15377600</v>
      </c>
      <c r="E97" s="11">
        <v>1.1352313628983999E-3</v>
      </c>
      <c r="F97" s="8">
        <v>313828.571429</v>
      </c>
      <c r="G97" s="8">
        <v>46.122399999999999</v>
      </c>
      <c r="H97" s="11">
        <v>0.98956393980000001</v>
      </c>
      <c r="I97" s="8">
        <v>279000</v>
      </c>
      <c r="J97" s="8">
        <v>28</v>
      </c>
      <c r="K97" s="11">
        <v>1</v>
      </c>
      <c r="L97" s="1"/>
    </row>
    <row r="98" spans="1:12" ht="15.6" x14ac:dyDescent="0.6">
      <c r="A98" s="4" t="s">
        <v>111</v>
      </c>
      <c r="B98" s="7">
        <v>47</v>
      </c>
      <c r="C98" s="10">
        <v>1.9624217118998002E-3</v>
      </c>
      <c r="D98" s="7">
        <v>16264826</v>
      </c>
      <c r="E98" s="10">
        <v>1.2007296709034001E-3</v>
      </c>
      <c r="F98" s="7">
        <v>346060.12766</v>
      </c>
      <c r="G98" s="7">
        <v>96</v>
      </c>
      <c r="H98" s="10">
        <v>0.95888782149999996</v>
      </c>
      <c r="I98" s="7">
        <v>310000</v>
      </c>
      <c r="J98" s="7">
        <v>38</v>
      </c>
      <c r="K98" s="10">
        <v>1</v>
      </c>
      <c r="L98" s="1"/>
    </row>
    <row r="99" spans="1:12" ht="15.6" x14ac:dyDescent="0.6">
      <c r="A99" s="5" t="s">
        <v>89</v>
      </c>
      <c r="B99" s="8">
        <v>46</v>
      </c>
      <c r="C99" s="11">
        <v>1.9206680584551001E-3</v>
      </c>
      <c r="D99" s="8">
        <v>44778100</v>
      </c>
      <c r="E99" s="11">
        <v>3.3056851193294001E-3</v>
      </c>
      <c r="F99" s="8">
        <v>973436.95652200002</v>
      </c>
      <c r="G99" s="8">
        <v>8.0216999999999992</v>
      </c>
      <c r="H99" s="11">
        <v>1.0243127055000001</v>
      </c>
      <c r="I99" s="8">
        <v>834500</v>
      </c>
      <c r="J99" s="8">
        <v>5</v>
      </c>
      <c r="K99" s="11">
        <v>1.0124355</v>
      </c>
      <c r="L99" s="1"/>
    </row>
    <row r="100" spans="1:12" ht="15.6" x14ac:dyDescent="0.6">
      <c r="A100" s="4" t="s">
        <v>99</v>
      </c>
      <c r="B100" s="7">
        <v>46</v>
      </c>
      <c r="C100" s="10">
        <v>1.9206680584551001E-3</v>
      </c>
      <c r="D100" s="7">
        <v>11819800</v>
      </c>
      <c r="E100" s="10">
        <v>8.7258139522331999E-4</v>
      </c>
      <c r="F100" s="7">
        <v>256952.17391300001</v>
      </c>
      <c r="G100" s="7">
        <v>117.26090000000001</v>
      </c>
      <c r="H100" s="10">
        <v>0.93884610509999999</v>
      </c>
      <c r="I100" s="7">
        <v>232500</v>
      </c>
      <c r="J100" s="7">
        <v>77</v>
      </c>
      <c r="K100" s="10">
        <v>0.96905600000000003</v>
      </c>
      <c r="L100" s="1"/>
    </row>
    <row r="101" spans="1:12" ht="15.6" x14ac:dyDescent="0.6">
      <c r="A101" s="5" t="s">
        <v>95</v>
      </c>
      <c r="B101" s="8">
        <v>45</v>
      </c>
      <c r="C101" s="11">
        <v>1.8789144050104E-3</v>
      </c>
      <c r="D101" s="8">
        <v>31018300</v>
      </c>
      <c r="E101" s="11">
        <v>2.2898857418447E-3</v>
      </c>
      <c r="F101" s="8">
        <v>689295.55555599998</v>
      </c>
      <c r="G101" s="8">
        <v>21.222200000000001</v>
      </c>
      <c r="H101" s="11">
        <v>0.99638638690000003</v>
      </c>
      <c r="I101" s="8">
        <v>625000</v>
      </c>
      <c r="J101" s="8">
        <v>9</v>
      </c>
      <c r="K101" s="11">
        <v>1</v>
      </c>
      <c r="L101" s="1"/>
    </row>
    <row r="102" spans="1:12" ht="15.6" x14ac:dyDescent="0.6">
      <c r="A102" s="4" t="s">
        <v>102</v>
      </c>
      <c r="B102" s="7">
        <v>44</v>
      </c>
      <c r="C102" s="10">
        <v>1.8371607515658001E-3</v>
      </c>
      <c r="D102" s="7">
        <v>10726300</v>
      </c>
      <c r="E102" s="10">
        <v>7.9185517687134E-4</v>
      </c>
      <c r="F102" s="7">
        <v>243779.54545500001</v>
      </c>
      <c r="G102" s="7">
        <v>56.886400000000002</v>
      </c>
      <c r="H102" s="10">
        <v>0.97111855270000003</v>
      </c>
      <c r="I102" s="7">
        <v>251935</v>
      </c>
      <c r="J102" s="7">
        <v>24</v>
      </c>
      <c r="K102" s="10">
        <v>1</v>
      </c>
      <c r="L102" s="1"/>
    </row>
    <row r="103" spans="1:12" ht="15.6" x14ac:dyDescent="0.6">
      <c r="A103" s="5" t="s">
        <v>113</v>
      </c>
      <c r="B103" s="8">
        <v>43</v>
      </c>
      <c r="C103" s="11">
        <v>1.7954070981211E-3</v>
      </c>
      <c r="D103" s="8">
        <v>22273290</v>
      </c>
      <c r="E103" s="11">
        <v>1.6442967278983999E-3</v>
      </c>
      <c r="F103" s="8">
        <v>517983.48837199999</v>
      </c>
      <c r="G103" s="8">
        <v>27.162800000000001</v>
      </c>
      <c r="H103" s="11">
        <v>1.0038786315999999</v>
      </c>
      <c r="I103" s="8">
        <v>425000</v>
      </c>
      <c r="J103" s="8">
        <v>16</v>
      </c>
      <c r="K103" s="11">
        <v>1</v>
      </c>
      <c r="L103" s="1"/>
    </row>
    <row r="104" spans="1:12" ht="15.6" x14ac:dyDescent="0.6">
      <c r="A104" s="4" t="s">
        <v>122</v>
      </c>
      <c r="B104" s="7">
        <v>42</v>
      </c>
      <c r="C104" s="10">
        <v>1.7536534446764001E-3</v>
      </c>
      <c r="D104" s="7">
        <v>18554200</v>
      </c>
      <c r="E104" s="10">
        <v>1.3697397352961001E-3</v>
      </c>
      <c r="F104" s="7">
        <v>441766.66666699998</v>
      </c>
      <c r="G104" s="7">
        <v>43.3095</v>
      </c>
      <c r="H104" s="10">
        <v>0.98254120879999995</v>
      </c>
      <c r="I104" s="7">
        <v>334950</v>
      </c>
      <c r="J104" s="7">
        <v>21</v>
      </c>
      <c r="K104" s="10">
        <v>1</v>
      </c>
      <c r="L104" s="1"/>
    </row>
    <row r="105" spans="1:12" ht="15.6" x14ac:dyDescent="0.6">
      <c r="A105" s="5" t="s">
        <v>87</v>
      </c>
      <c r="B105" s="8">
        <v>42</v>
      </c>
      <c r="C105" s="11">
        <v>1.7536534446764001E-3</v>
      </c>
      <c r="D105" s="8">
        <v>21140890</v>
      </c>
      <c r="E105" s="11">
        <v>1.560698767531E-3</v>
      </c>
      <c r="F105" s="8">
        <v>503354.52380999998</v>
      </c>
      <c r="G105" s="8">
        <v>19</v>
      </c>
      <c r="H105" s="11">
        <v>1.0014124986999999</v>
      </c>
      <c r="I105" s="8">
        <v>407500</v>
      </c>
      <c r="J105" s="8">
        <v>7.5</v>
      </c>
      <c r="K105" s="11">
        <v>1</v>
      </c>
      <c r="L105" s="1"/>
    </row>
    <row r="106" spans="1:12" ht="15.6" x14ac:dyDescent="0.6">
      <c r="A106" s="4" t="s">
        <v>156</v>
      </c>
      <c r="B106" s="7">
        <v>38</v>
      </c>
      <c r="C106" s="10">
        <v>1.5866388308977001E-3</v>
      </c>
      <c r="D106" s="7">
        <v>9456000</v>
      </c>
      <c r="E106" s="10">
        <v>6.9807692797100999E-4</v>
      </c>
      <c r="F106" s="7">
        <v>248842.105263</v>
      </c>
      <c r="G106" s="7">
        <v>134.9211</v>
      </c>
      <c r="H106" s="10">
        <v>0.95472472009999998</v>
      </c>
      <c r="I106" s="7">
        <v>207500</v>
      </c>
      <c r="J106" s="7">
        <v>97.5</v>
      </c>
      <c r="K106" s="10">
        <v>0.97508700000000004</v>
      </c>
      <c r="L106" s="1"/>
    </row>
    <row r="107" spans="1:12" ht="15.6" x14ac:dyDescent="0.6">
      <c r="A107" s="5" t="s">
        <v>105</v>
      </c>
      <c r="B107" s="8">
        <v>35</v>
      </c>
      <c r="C107" s="11">
        <v>1.4613778705636999E-3</v>
      </c>
      <c r="D107" s="8">
        <v>18681802</v>
      </c>
      <c r="E107" s="11">
        <v>1.3791597873438E-3</v>
      </c>
      <c r="F107" s="8">
        <v>533765.77142899996</v>
      </c>
      <c r="G107" s="8">
        <v>50.457099999999997</v>
      </c>
      <c r="H107" s="11">
        <v>0.98739856709999996</v>
      </c>
      <c r="I107" s="8">
        <v>440000</v>
      </c>
      <c r="J107" s="8">
        <v>13</v>
      </c>
      <c r="K107" s="11">
        <v>1</v>
      </c>
      <c r="L107" s="1"/>
    </row>
    <row r="108" spans="1:12" ht="15.6" x14ac:dyDescent="0.6">
      <c r="A108" s="4" t="s">
        <v>108</v>
      </c>
      <c r="B108" s="7">
        <v>34</v>
      </c>
      <c r="C108" s="10">
        <v>1.4196242171190001E-3</v>
      </c>
      <c r="D108" s="7">
        <v>5404100</v>
      </c>
      <c r="E108" s="10">
        <v>3.9895066904062002E-4</v>
      </c>
      <c r="F108" s="7">
        <v>158944.11764700001</v>
      </c>
      <c r="G108" s="7">
        <v>61.2941</v>
      </c>
      <c r="H108" s="10">
        <v>0.94052542859999999</v>
      </c>
      <c r="I108" s="7">
        <v>142450</v>
      </c>
      <c r="J108" s="7">
        <v>49</v>
      </c>
      <c r="K108" s="10">
        <v>0.97599049999999998</v>
      </c>
      <c r="L108" s="1"/>
    </row>
    <row r="109" spans="1:12" ht="15.6" x14ac:dyDescent="0.6">
      <c r="A109" s="5" t="s">
        <v>127</v>
      </c>
      <c r="B109" s="8">
        <v>33</v>
      </c>
      <c r="C109" s="11">
        <v>1.3778705636743E-3</v>
      </c>
      <c r="D109" s="8">
        <v>7579013</v>
      </c>
      <c r="E109" s="11">
        <v>5.5951079865612999E-4</v>
      </c>
      <c r="F109" s="8">
        <v>229667.06060600001</v>
      </c>
      <c r="G109" s="8">
        <v>130.96969999999999</v>
      </c>
      <c r="H109" s="11">
        <v>0.95302731009999997</v>
      </c>
      <c r="I109" s="8">
        <v>200000</v>
      </c>
      <c r="J109" s="8">
        <v>92</v>
      </c>
      <c r="K109" s="11">
        <v>0.97198399999999996</v>
      </c>
      <c r="L109" s="1"/>
    </row>
    <row r="110" spans="1:12" ht="15.6" x14ac:dyDescent="0.6">
      <c r="A110" s="4" t="s">
        <v>119</v>
      </c>
      <c r="B110" s="7">
        <v>32</v>
      </c>
      <c r="C110" s="10">
        <v>1.3361169102296001E-3</v>
      </c>
      <c r="D110" s="7">
        <v>10101600</v>
      </c>
      <c r="E110" s="10">
        <v>7.4573751010912996E-4</v>
      </c>
      <c r="F110" s="7">
        <v>315675</v>
      </c>
      <c r="G110" s="7">
        <v>27.0625</v>
      </c>
      <c r="H110" s="10">
        <v>0.99854843010000005</v>
      </c>
      <c r="I110" s="7">
        <v>332450</v>
      </c>
      <c r="J110" s="7">
        <v>8.5</v>
      </c>
      <c r="K110" s="10">
        <v>1</v>
      </c>
      <c r="L110" s="1"/>
    </row>
    <row r="111" spans="1:12" ht="15.6" x14ac:dyDescent="0.6">
      <c r="A111" s="5" t="s">
        <v>114</v>
      </c>
      <c r="B111" s="8">
        <v>31</v>
      </c>
      <c r="C111" s="11">
        <v>1.2943632567849999E-3</v>
      </c>
      <c r="D111" s="8">
        <v>52337885</v>
      </c>
      <c r="E111" s="11">
        <v>3.8637764358397E-3</v>
      </c>
      <c r="F111" s="8">
        <v>1688318.870968</v>
      </c>
      <c r="G111" s="8">
        <v>13.8065</v>
      </c>
      <c r="H111" s="11">
        <v>1.0371482447</v>
      </c>
      <c r="I111" s="8">
        <v>1595000</v>
      </c>
      <c r="J111" s="8">
        <v>5</v>
      </c>
      <c r="K111" s="11">
        <v>1.0057199999999999</v>
      </c>
      <c r="L111" s="1"/>
    </row>
    <row r="112" spans="1:12" ht="15.6" x14ac:dyDescent="0.6">
      <c r="A112" s="4" t="s">
        <v>101</v>
      </c>
      <c r="B112" s="7">
        <v>31</v>
      </c>
      <c r="C112" s="10">
        <v>1.2943632567849999E-3</v>
      </c>
      <c r="D112" s="7">
        <v>9781050</v>
      </c>
      <c r="E112" s="10">
        <v>7.2207332237000997E-4</v>
      </c>
      <c r="F112" s="7">
        <v>315517.741935</v>
      </c>
      <c r="G112" s="7">
        <v>33.709699999999998</v>
      </c>
      <c r="H112" s="10">
        <v>0.97300794079999997</v>
      </c>
      <c r="I112" s="7">
        <v>295000</v>
      </c>
      <c r="J112" s="7">
        <v>13</v>
      </c>
      <c r="K112" s="10">
        <v>0.99187199999999998</v>
      </c>
      <c r="L112" s="1"/>
    </row>
    <row r="113" spans="1:12" ht="15.6" x14ac:dyDescent="0.6">
      <c r="A113" s="5" t="s">
        <v>107</v>
      </c>
      <c r="B113" s="8">
        <v>28</v>
      </c>
      <c r="C113" s="11">
        <v>1.1691022964509001E-3</v>
      </c>
      <c r="D113" s="8">
        <v>6566700</v>
      </c>
      <c r="E113" s="11">
        <v>4.8477810521438001E-4</v>
      </c>
      <c r="F113" s="8">
        <v>234525</v>
      </c>
      <c r="G113" s="8">
        <v>120.6786</v>
      </c>
      <c r="H113" s="11">
        <v>0.95123221459999996</v>
      </c>
      <c r="I113" s="8">
        <v>199000</v>
      </c>
      <c r="J113" s="8">
        <v>78.5</v>
      </c>
      <c r="K113" s="11">
        <v>0.96198249999999996</v>
      </c>
      <c r="L113" s="1"/>
    </row>
    <row r="114" spans="1:12" ht="15.6" x14ac:dyDescent="0.6">
      <c r="A114" s="4" t="s">
        <v>125</v>
      </c>
      <c r="B114" s="7">
        <v>26</v>
      </c>
      <c r="C114" s="10">
        <v>1.0855949895616E-3</v>
      </c>
      <c r="D114" s="7">
        <v>4653450</v>
      </c>
      <c r="E114" s="10">
        <v>3.4353490698675002E-4</v>
      </c>
      <c r="F114" s="7">
        <v>178978.846154</v>
      </c>
      <c r="G114" s="7">
        <v>60.076900000000002</v>
      </c>
      <c r="H114" s="10">
        <v>0.99195166609999996</v>
      </c>
      <c r="I114" s="7">
        <v>156000</v>
      </c>
      <c r="J114" s="7">
        <v>19</v>
      </c>
      <c r="K114" s="10">
        <v>1</v>
      </c>
      <c r="L114" s="1"/>
    </row>
    <row r="115" spans="1:12" ht="15.6" x14ac:dyDescent="0.6">
      <c r="A115" s="5" t="s">
        <v>92</v>
      </c>
      <c r="B115" s="8">
        <v>26</v>
      </c>
      <c r="C115" s="11">
        <v>1.0855949895616E-3</v>
      </c>
      <c r="D115" s="8">
        <v>5445447</v>
      </c>
      <c r="E115" s="11">
        <v>4.0200305765535001E-4</v>
      </c>
      <c r="F115" s="8">
        <v>209440.26923100001</v>
      </c>
      <c r="G115" s="8">
        <v>30.5</v>
      </c>
      <c r="H115" s="11">
        <v>0.97414147750000002</v>
      </c>
      <c r="I115" s="8">
        <v>224500</v>
      </c>
      <c r="J115" s="8">
        <v>11.5</v>
      </c>
      <c r="K115" s="11">
        <v>0.98940799999999995</v>
      </c>
      <c r="L115" s="1"/>
    </row>
    <row r="116" spans="1:12" ht="15.6" x14ac:dyDescent="0.6">
      <c r="A116" s="4" t="s">
        <v>118</v>
      </c>
      <c r="B116" s="7">
        <v>24</v>
      </c>
      <c r="C116" s="10">
        <v>1.0020876826722E-3</v>
      </c>
      <c r="D116" s="7">
        <v>6094275</v>
      </c>
      <c r="E116" s="10">
        <v>4.4990194270416002E-4</v>
      </c>
      <c r="F116" s="7">
        <v>253928.125</v>
      </c>
      <c r="G116" s="7">
        <v>146.66669999999999</v>
      </c>
      <c r="H116" s="10">
        <v>0.93592414509999999</v>
      </c>
      <c r="I116" s="7">
        <v>230500</v>
      </c>
      <c r="J116" s="7">
        <v>86</v>
      </c>
      <c r="K116" s="10">
        <v>0.95493749999999999</v>
      </c>
      <c r="L116" s="1"/>
    </row>
    <row r="117" spans="1:12" ht="15.6" x14ac:dyDescent="0.6">
      <c r="A117" s="5" t="s">
        <v>109</v>
      </c>
      <c r="B117" s="8">
        <v>24</v>
      </c>
      <c r="C117" s="11">
        <v>1.0020876826722E-3</v>
      </c>
      <c r="D117" s="8">
        <v>14794877</v>
      </c>
      <c r="E117" s="11">
        <v>1.0922125936833E-3</v>
      </c>
      <c r="F117" s="8">
        <v>616453.20833299996</v>
      </c>
      <c r="G117" s="8">
        <v>19.083300000000001</v>
      </c>
      <c r="H117" s="11">
        <v>1.0042578885</v>
      </c>
      <c r="I117" s="8">
        <v>650000</v>
      </c>
      <c r="J117" s="8">
        <v>11</v>
      </c>
      <c r="K117" s="11">
        <v>1</v>
      </c>
      <c r="L117" s="1"/>
    </row>
    <row r="118" spans="1:12" ht="15.6" x14ac:dyDescent="0.6">
      <c r="A118" s="4" t="s">
        <v>123</v>
      </c>
      <c r="B118" s="7">
        <v>23</v>
      </c>
      <c r="C118" s="10">
        <v>9.6033402922756001E-4</v>
      </c>
      <c r="D118" s="7">
        <v>4433200</v>
      </c>
      <c r="E118" s="10">
        <v>3.2727523657795002E-4</v>
      </c>
      <c r="F118" s="7">
        <v>192747.82608699999</v>
      </c>
      <c r="G118" s="7">
        <v>36.217399999999998</v>
      </c>
      <c r="H118" s="10">
        <v>0.97733155149999995</v>
      </c>
      <c r="I118" s="7">
        <v>190000</v>
      </c>
      <c r="J118" s="7">
        <v>15</v>
      </c>
      <c r="K118" s="10">
        <v>1</v>
      </c>
      <c r="L118" s="1"/>
    </row>
    <row r="119" spans="1:12" ht="15.6" x14ac:dyDescent="0.6">
      <c r="A119" s="5" t="s">
        <v>161</v>
      </c>
      <c r="B119" s="8">
        <v>23</v>
      </c>
      <c r="C119" s="11">
        <v>9.6033402922756001E-4</v>
      </c>
      <c r="D119" s="8">
        <v>9072525</v>
      </c>
      <c r="E119" s="11">
        <v>6.6976738377117005E-4</v>
      </c>
      <c r="F119" s="8">
        <v>394457.60869600001</v>
      </c>
      <c r="G119" s="8">
        <v>49.304299999999998</v>
      </c>
      <c r="H119" s="11">
        <v>0.99560233149999999</v>
      </c>
      <c r="I119" s="8">
        <v>324950</v>
      </c>
      <c r="J119" s="8">
        <v>24</v>
      </c>
      <c r="K119" s="11">
        <v>1</v>
      </c>
      <c r="L119" s="1"/>
    </row>
    <row r="120" spans="1:12" ht="15.6" x14ac:dyDescent="0.6">
      <c r="A120" s="4" t="s">
        <v>126</v>
      </c>
      <c r="B120" s="7">
        <v>20</v>
      </c>
      <c r="C120" s="10">
        <v>8.3507306889352997E-4</v>
      </c>
      <c r="D120" s="7">
        <v>10071039</v>
      </c>
      <c r="E120" s="10">
        <v>7.4348138394630004E-4</v>
      </c>
      <c r="F120" s="7">
        <v>503551.95</v>
      </c>
      <c r="G120" s="7">
        <v>20.05</v>
      </c>
      <c r="H120" s="10">
        <v>1.0115030469999999</v>
      </c>
      <c r="I120" s="7">
        <v>349900</v>
      </c>
      <c r="J120" s="7">
        <v>7</v>
      </c>
      <c r="K120" s="10">
        <v>1</v>
      </c>
      <c r="L120" s="1"/>
    </row>
    <row r="121" spans="1:12" ht="15.6" x14ac:dyDescent="0.6">
      <c r="A121" s="5" t="s">
        <v>157</v>
      </c>
      <c r="B121" s="8">
        <v>19</v>
      </c>
      <c r="C121" s="11">
        <v>7.9331941544885003E-4</v>
      </c>
      <c r="D121" s="8">
        <v>4060659</v>
      </c>
      <c r="E121" s="11">
        <v>2.9977288073792998E-4</v>
      </c>
      <c r="F121" s="8">
        <v>213718.894737</v>
      </c>
      <c r="G121" s="8">
        <v>101.1053</v>
      </c>
      <c r="H121" s="11">
        <v>0.92318235469999999</v>
      </c>
      <c r="I121" s="8">
        <v>169000</v>
      </c>
      <c r="J121" s="8">
        <v>85</v>
      </c>
      <c r="K121" s="11">
        <v>0.97872300000000001</v>
      </c>
      <c r="L121" s="1"/>
    </row>
    <row r="122" spans="1:12" ht="15.6" x14ac:dyDescent="0.6">
      <c r="A122" s="4" t="s">
        <v>129</v>
      </c>
      <c r="B122" s="7">
        <v>18</v>
      </c>
      <c r="C122" s="10">
        <v>7.5156576200417996E-4</v>
      </c>
      <c r="D122" s="7">
        <v>6540132</v>
      </c>
      <c r="E122" s="10">
        <v>4.8281675709443002E-4</v>
      </c>
      <c r="F122" s="7">
        <v>363340.66666699998</v>
      </c>
      <c r="G122" s="7">
        <v>44.5</v>
      </c>
      <c r="H122" s="10">
        <v>0.9988795291</v>
      </c>
      <c r="I122" s="7">
        <v>394000</v>
      </c>
      <c r="J122" s="7">
        <v>26</v>
      </c>
      <c r="K122" s="10">
        <v>1.0009524999999999</v>
      </c>
      <c r="L122" s="1"/>
    </row>
    <row r="123" spans="1:12" ht="15.6" x14ac:dyDescent="0.6">
      <c r="A123" s="5" t="s">
        <v>120</v>
      </c>
      <c r="B123" s="8">
        <v>17</v>
      </c>
      <c r="C123" s="11">
        <v>7.0981210855950003E-4</v>
      </c>
      <c r="D123" s="8">
        <v>14769500</v>
      </c>
      <c r="E123" s="11">
        <v>1.0903391695926E-3</v>
      </c>
      <c r="F123" s="8">
        <v>868794.11764700001</v>
      </c>
      <c r="G123" s="8">
        <v>71.058800000000005</v>
      </c>
      <c r="H123" s="11">
        <v>0.95768526440000001</v>
      </c>
      <c r="I123" s="8">
        <v>675000</v>
      </c>
      <c r="J123" s="8">
        <v>20</v>
      </c>
      <c r="K123" s="11">
        <v>0.97170599999999996</v>
      </c>
      <c r="L123" s="1"/>
    </row>
    <row r="124" spans="1:12" ht="15.6" x14ac:dyDescent="0.6">
      <c r="A124" s="4" t="s">
        <v>124</v>
      </c>
      <c r="B124" s="7">
        <v>16</v>
      </c>
      <c r="C124" s="10">
        <v>6.6805845511481998E-4</v>
      </c>
      <c r="D124" s="7">
        <v>4013500</v>
      </c>
      <c r="E124" s="10">
        <v>2.9629142876603999E-4</v>
      </c>
      <c r="F124" s="7">
        <v>250843.75</v>
      </c>
      <c r="G124" s="7">
        <v>75.75</v>
      </c>
      <c r="H124" s="10">
        <v>0.95174626269999996</v>
      </c>
      <c r="I124" s="7">
        <v>292400</v>
      </c>
      <c r="J124" s="7">
        <v>54.5</v>
      </c>
      <c r="K124" s="10">
        <v>0.99410050000000005</v>
      </c>
      <c r="L124" s="1"/>
    </row>
    <row r="125" spans="1:12" ht="15.6" x14ac:dyDescent="0.6">
      <c r="A125" s="5" t="s">
        <v>133</v>
      </c>
      <c r="B125" s="8">
        <v>16</v>
      </c>
      <c r="C125" s="11">
        <v>6.6805845511481998E-4</v>
      </c>
      <c r="D125" s="8">
        <v>2396950</v>
      </c>
      <c r="E125" s="11">
        <v>1.7695172298013001E-4</v>
      </c>
      <c r="F125" s="8">
        <v>149809.375</v>
      </c>
      <c r="G125" s="8">
        <v>135.5625</v>
      </c>
      <c r="H125" s="11">
        <v>0.91755226869999995</v>
      </c>
      <c r="I125" s="8">
        <v>139175</v>
      </c>
      <c r="J125" s="8">
        <v>83</v>
      </c>
      <c r="K125" s="11">
        <v>0.93779100000000004</v>
      </c>
      <c r="L125" s="1"/>
    </row>
    <row r="126" spans="1:12" ht="15.6" x14ac:dyDescent="0.6">
      <c r="A126" s="4" t="s">
        <v>130</v>
      </c>
      <c r="B126" s="7">
        <v>15</v>
      </c>
      <c r="C126" s="10">
        <v>6.2630480167015002E-4</v>
      </c>
      <c r="D126" s="7">
        <v>5644900</v>
      </c>
      <c r="E126" s="10">
        <v>4.1672741652956001E-4</v>
      </c>
      <c r="F126" s="7">
        <v>376326.66666699998</v>
      </c>
      <c r="G126" s="7">
        <v>112.5333</v>
      </c>
      <c r="H126" s="10">
        <v>0.97409853629999998</v>
      </c>
      <c r="I126" s="7">
        <v>369000</v>
      </c>
      <c r="J126" s="7">
        <v>55</v>
      </c>
      <c r="K126" s="10">
        <v>0.98399999999999999</v>
      </c>
      <c r="L126" s="1"/>
    </row>
    <row r="127" spans="1:12" ht="15.6" x14ac:dyDescent="0.6">
      <c r="A127" s="5" t="s">
        <v>116</v>
      </c>
      <c r="B127" s="8">
        <v>15</v>
      </c>
      <c r="C127" s="11">
        <v>6.2630480167015002E-4</v>
      </c>
      <c r="D127" s="8">
        <v>5558150</v>
      </c>
      <c r="E127" s="11">
        <v>4.1032321036400999E-4</v>
      </c>
      <c r="F127" s="8">
        <v>370543.33333300002</v>
      </c>
      <c r="G127" s="8">
        <v>27.066700000000001</v>
      </c>
      <c r="H127" s="11">
        <v>0.98639878560000005</v>
      </c>
      <c r="I127" s="8">
        <v>350000</v>
      </c>
      <c r="J127" s="8">
        <v>14</v>
      </c>
      <c r="K127" s="11">
        <v>0.97493700000000005</v>
      </c>
      <c r="L127" s="1"/>
    </row>
    <row r="128" spans="1:12" ht="15.6" x14ac:dyDescent="0.6">
      <c r="A128" s="4" t="s">
        <v>115</v>
      </c>
      <c r="B128" s="7">
        <v>15</v>
      </c>
      <c r="C128" s="10">
        <v>6.2630480167015002E-4</v>
      </c>
      <c r="D128" s="7">
        <v>3153350</v>
      </c>
      <c r="E128" s="10">
        <v>2.3279197132162999E-4</v>
      </c>
      <c r="F128" s="7">
        <v>210223.33333299999</v>
      </c>
      <c r="G128" s="7">
        <v>46.066699999999997</v>
      </c>
      <c r="H128" s="10">
        <v>1.0307972915000001</v>
      </c>
      <c r="I128" s="7">
        <v>187500</v>
      </c>
      <c r="J128" s="7">
        <v>14</v>
      </c>
      <c r="K128" s="10">
        <v>1</v>
      </c>
      <c r="L128" s="1"/>
    </row>
    <row r="129" spans="1:12" ht="15.6" x14ac:dyDescent="0.6">
      <c r="A129" s="5" t="s">
        <v>132</v>
      </c>
      <c r="B129" s="8">
        <v>14</v>
      </c>
      <c r="C129" s="11">
        <v>5.8455114822546998E-4</v>
      </c>
      <c r="D129" s="8">
        <v>6266400</v>
      </c>
      <c r="E129" s="11">
        <v>4.6260884744474999E-4</v>
      </c>
      <c r="F129" s="8">
        <v>447600</v>
      </c>
      <c r="G129" s="8">
        <v>120.6429</v>
      </c>
      <c r="H129" s="11">
        <v>0.90198139730000004</v>
      </c>
      <c r="I129" s="8">
        <v>405000</v>
      </c>
      <c r="J129" s="8">
        <v>42</v>
      </c>
      <c r="K129" s="11">
        <v>0.92130849999999997</v>
      </c>
      <c r="L129" s="1"/>
    </row>
    <row r="130" spans="1:12" ht="15.6" x14ac:dyDescent="0.6">
      <c r="A130" s="4" t="s">
        <v>135</v>
      </c>
      <c r="B130" s="7">
        <v>12</v>
      </c>
      <c r="C130" s="10">
        <v>5.0104384133611997E-4</v>
      </c>
      <c r="D130" s="7">
        <v>3536600</v>
      </c>
      <c r="E130" s="10">
        <v>2.6108490518848002E-4</v>
      </c>
      <c r="F130" s="7">
        <v>294716.66666699998</v>
      </c>
      <c r="G130" s="7">
        <v>107.58329999999999</v>
      </c>
      <c r="H130" s="10">
        <v>0.96436351369999995</v>
      </c>
      <c r="I130" s="7">
        <v>309900</v>
      </c>
      <c r="J130" s="7">
        <v>131.5</v>
      </c>
      <c r="K130" s="10">
        <v>0.98390250000000001</v>
      </c>
      <c r="L130" s="1"/>
    </row>
    <row r="131" spans="1:12" ht="15.6" x14ac:dyDescent="0.6">
      <c r="A131" s="5" t="s">
        <v>158</v>
      </c>
      <c r="B131" s="8">
        <v>11</v>
      </c>
      <c r="C131" s="11">
        <v>4.5929018789143998E-4</v>
      </c>
      <c r="D131" s="8">
        <v>1791050</v>
      </c>
      <c r="E131" s="11">
        <v>1.3222194181920999E-4</v>
      </c>
      <c r="F131" s="8">
        <v>162822.727273</v>
      </c>
      <c r="G131" s="8">
        <v>160.36359999999999</v>
      </c>
      <c r="H131" s="11">
        <v>0.92050622829999995</v>
      </c>
      <c r="I131" s="8">
        <v>131250</v>
      </c>
      <c r="J131" s="8">
        <v>134</v>
      </c>
      <c r="K131" s="11">
        <v>0.917431</v>
      </c>
      <c r="L131" s="1"/>
    </row>
    <row r="132" spans="1:12" ht="15.6" x14ac:dyDescent="0.6">
      <c r="A132" s="4" t="s">
        <v>128</v>
      </c>
      <c r="B132" s="7">
        <v>11</v>
      </c>
      <c r="C132" s="10">
        <v>4.5929018789143998E-4</v>
      </c>
      <c r="D132" s="7">
        <v>2498500</v>
      </c>
      <c r="E132" s="10">
        <v>1.8444851993819E-4</v>
      </c>
      <c r="F132" s="7">
        <v>227136.36363599999</v>
      </c>
      <c r="G132" s="7">
        <v>58.545499999999997</v>
      </c>
      <c r="H132" s="10">
        <v>0.9822277935</v>
      </c>
      <c r="I132" s="7">
        <v>216000</v>
      </c>
      <c r="J132" s="7">
        <v>25</v>
      </c>
      <c r="K132" s="10">
        <v>0.97837799999999997</v>
      </c>
      <c r="L132" s="1"/>
    </row>
    <row r="133" spans="1:12" ht="15.6" x14ac:dyDescent="0.6">
      <c r="A133" s="5" t="s">
        <v>117</v>
      </c>
      <c r="B133" s="8">
        <v>11</v>
      </c>
      <c r="C133" s="11">
        <v>4.5929018789143998E-4</v>
      </c>
      <c r="D133" s="8">
        <v>3388050</v>
      </c>
      <c r="E133" s="11">
        <v>2.5011839422718E-4</v>
      </c>
      <c r="F133" s="8">
        <v>308004.54545500001</v>
      </c>
      <c r="G133" s="8">
        <v>70.2727</v>
      </c>
      <c r="H133" s="11">
        <v>1.0050901965000001</v>
      </c>
      <c r="I133" s="8">
        <v>249950</v>
      </c>
      <c r="J133" s="8">
        <v>70</v>
      </c>
      <c r="K133" s="11">
        <v>1</v>
      </c>
      <c r="L133" s="1"/>
    </row>
    <row r="134" spans="1:12" ht="15.6" x14ac:dyDescent="0.6">
      <c r="A134" s="4" t="s">
        <v>134</v>
      </c>
      <c r="B134" s="7">
        <v>10</v>
      </c>
      <c r="C134" s="10">
        <v>4.1753653444676E-4</v>
      </c>
      <c r="D134" s="7">
        <v>2653200</v>
      </c>
      <c r="E134" s="10">
        <v>1.9586904666801E-4</v>
      </c>
      <c r="F134" s="7">
        <v>265320</v>
      </c>
      <c r="G134" s="7">
        <v>189.2</v>
      </c>
      <c r="H134" s="10">
        <v>0.90654242269999996</v>
      </c>
      <c r="I134" s="7">
        <v>187500</v>
      </c>
      <c r="J134" s="7">
        <v>105.5</v>
      </c>
      <c r="K134" s="10">
        <v>0.91229000000000005</v>
      </c>
      <c r="L134" s="1"/>
    </row>
    <row r="135" spans="1:12" ht="15.6" x14ac:dyDescent="0.6">
      <c r="A135" s="5" t="s">
        <v>136</v>
      </c>
      <c r="B135" s="8">
        <v>9</v>
      </c>
      <c r="C135" s="11">
        <v>3.7578288100208998E-4</v>
      </c>
      <c r="D135" s="8">
        <v>2436500</v>
      </c>
      <c r="E135" s="11">
        <v>1.7987145040201E-4</v>
      </c>
      <c r="F135" s="8">
        <v>270722.22222200001</v>
      </c>
      <c r="G135" s="8">
        <v>26.8889</v>
      </c>
      <c r="H135" s="11">
        <v>0.99063035119999998</v>
      </c>
      <c r="I135" s="8">
        <v>290000</v>
      </c>
      <c r="J135" s="8">
        <v>12</v>
      </c>
      <c r="K135" s="11">
        <v>1</v>
      </c>
      <c r="L135" s="1"/>
    </row>
    <row r="136" spans="1:12" ht="15.6" x14ac:dyDescent="0.6">
      <c r="A136" s="4" t="s">
        <v>131</v>
      </c>
      <c r="B136" s="7">
        <v>7</v>
      </c>
      <c r="C136" s="10">
        <v>2.9227557411273E-4</v>
      </c>
      <c r="D136" s="7">
        <v>2609000</v>
      </c>
      <c r="E136" s="10">
        <v>1.9260603903091999E-4</v>
      </c>
      <c r="F136" s="7">
        <v>372714.285714</v>
      </c>
      <c r="G136" s="7">
        <v>69.857100000000003</v>
      </c>
      <c r="H136" s="10">
        <v>0.97614418219999999</v>
      </c>
      <c r="I136" s="7">
        <v>365000</v>
      </c>
      <c r="J136" s="7">
        <v>56</v>
      </c>
      <c r="K136" s="10">
        <v>0.98648599999999997</v>
      </c>
      <c r="L136" s="1"/>
    </row>
    <row r="137" spans="1:12" ht="15.6" x14ac:dyDescent="0.6">
      <c r="A137" s="5" t="s">
        <v>152</v>
      </c>
      <c r="B137" s="8">
        <v>7</v>
      </c>
      <c r="C137" s="11">
        <v>2.9227557411273E-4</v>
      </c>
      <c r="D137" s="8">
        <v>1246100</v>
      </c>
      <c r="E137" s="11">
        <v>9.1991715307177999E-5</v>
      </c>
      <c r="F137" s="8">
        <v>178014.285714</v>
      </c>
      <c r="G137" s="8">
        <v>37.714300000000001</v>
      </c>
      <c r="H137" s="11">
        <v>0.9676282303</v>
      </c>
      <c r="I137" s="8">
        <v>220000</v>
      </c>
      <c r="J137" s="8">
        <v>29</v>
      </c>
      <c r="K137" s="11">
        <v>1</v>
      </c>
      <c r="L137" s="1"/>
    </row>
    <row r="138" spans="1:12" ht="15.6" x14ac:dyDescent="0.6">
      <c r="A138" s="4" t="s">
        <v>159</v>
      </c>
      <c r="B138" s="7">
        <v>6</v>
      </c>
      <c r="C138" s="10">
        <v>2.5052192066805999E-4</v>
      </c>
      <c r="D138" s="7">
        <v>612500</v>
      </c>
      <c r="E138" s="10">
        <v>4.5217017595414997E-5</v>
      </c>
      <c r="F138" s="7">
        <v>102083.333333</v>
      </c>
      <c r="G138" s="7">
        <v>111.83329999999999</v>
      </c>
      <c r="H138" s="10">
        <v>0.89759116179999998</v>
      </c>
      <c r="I138" s="7">
        <v>116500</v>
      </c>
      <c r="J138" s="7">
        <v>76</v>
      </c>
      <c r="K138" s="10">
        <v>0.92164449999999998</v>
      </c>
      <c r="L138" s="1"/>
    </row>
    <row r="139" spans="1:12" ht="15.6" x14ac:dyDescent="0.55000000000000004">
      <c r="A139" s="6" t="s">
        <v>137</v>
      </c>
      <c r="B139" s="9">
        <f>SUM(B6:B138)</f>
        <v>23950</v>
      </c>
      <c r="C139" s="12">
        <f>SUM(C6:C138)</f>
        <v>1.0000000000000013</v>
      </c>
      <c r="D139" s="9">
        <f>SUM(D6:D138)</f>
        <v>13545785029</v>
      </c>
      <c r="E139" s="12">
        <f>SUM(E6:E138)</f>
        <v>1.0000000000000029</v>
      </c>
      <c r="F139" s="9">
        <v>565586.01373699994</v>
      </c>
      <c r="G139" s="9">
        <v>31.779800000000002</v>
      </c>
      <c r="H139" s="12">
        <v>0.99979133389999997</v>
      </c>
      <c r="I139" s="9">
        <v>435000</v>
      </c>
      <c r="J139" s="9">
        <v>11</v>
      </c>
      <c r="K139" s="12">
        <v>1</v>
      </c>
      <c r="L13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C710-B6FC-451E-869F-30EC5955DDCC}">
  <dimension ref="A1:L84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L10" sqref="L10"/>
    </sheetView>
  </sheetViews>
  <sheetFormatPr defaultRowHeight="14.4" x14ac:dyDescent="0.55000000000000004"/>
  <cols>
    <col min="1" max="1" width="25" customWidth="1"/>
    <col min="2" max="7" width="15" customWidth="1"/>
    <col min="8" max="11" width="10" customWidth="1"/>
    <col min="12" max="12" width="20" customWidth="1"/>
  </cols>
  <sheetData>
    <row r="1" spans="1:12" ht="18.3" x14ac:dyDescent="0.7">
      <c r="A1" s="2" t="s">
        <v>160</v>
      </c>
    </row>
    <row r="2" spans="1:12" ht="18.3" x14ac:dyDescent="0.7">
      <c r="A2" s="2" t="s">
        <v>154</v>
      </c>
    </row>
    <row r="5" spans="1:12" ht="31.2" x14ac:dyDescent="0.55000000000000004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2" ht="15.6" x14ac:dyDescent="0.6">
      <c r="A6" s="4" t="s">
        <v>11</v>
      </c>
      <c r="B6" s="7">
        <v>1782</v>
      </c>
      <c r="C6" s="10">
        <v>0.25614489003881002</v>
      </c>
      <c r="D6" s="7">
        <v>1013854179</v>
      </c>
      <c r="E6" s="10">
        <v>0.29167023534620001</v>
      </c>
      <c r="F6" s="7">
        <v>568941.73905700003</v>
      </c>
      <c r="G6" s="7">
        <v>16.760400000000001</v>
      </c>
      <c r="H6" s="10">
        <v>1.0059965087</v>
      </c>
      <c r="I6" s="7">
        <v>560000</v>
      </c>
      <c r="J6" s="7">
        <v>7</v>
      </c>
      <c r="K6" s="10">
        <v>1</v>
      </c>
      <c r="L6" s="1"/>
    </row>
    <row r="7" spans="1:12" ht="15.6" x14ac:dyDescent="0.6">
      <c r="A7" s="5" t="s">
        <v>15</v>
      </c>
      <c r="B7" s="8">
        <v>774</v>
      </c>
      <c r="C7" s="11">
        <v>0.11125485122898</v>
      </c>
      <c r="D7" s="8">
        <v>494329501</v>
      </c>
      <c r="E7" s="11">
        <v>0.14221098544708999</v>
      </c>
      <c r="F7" s="8">
        <v>638668.60594299994</v>
      </c>
      <c r="G7" s="8">
        <v>15.887600000000001</v>
      </c>
      <c r="H7" s="11">
        <v>1.0056742878</v>
      </c>
      <c r="I7" s="8">
        <v>632500</v>
      </c>
      <c r="J7" s="8">
        <v>7</v>
      </c>
      <c r="K7" s="11">
        <v>1</v>
      </c>
      <c r="L7" s="1"/>
    </row>
    <row r="8" spans="1:12" ht="15.6" x14ac:dyDescent="0.6">
      <c r="A8" s="4" t="s">
        <v>14</v>
      </c>
      <c r="B8" s="7">
        <v>660</v>
      </c>
      <c r="C8" s="10">
        <v>9.4868477792152003E-2</v>
      </c>
      <c r="D8" s="7">
        <v>322358561</v>
      </c>
      <c r="E8" s="10">
        <v>9.2737594123713005E-2</v>
      </c>
      <c r="F8" s="7">
        <v>488422.06212100002</v>
      </c>
      <c r="G8" s="7">
        <v>15.0242</v>
      </c>
      <c r="H8" s="10">
        <v>1.0073588378</v>
      </c>
      <c r="I8" s="7">
        <v>480000</v>
      </c>
      <c r="J8" s="7">
        <v>7</v>
      </c>
      <c r="K8" s="10">
        <v>1</v>
      </c>
      <c r="L8" s="1"/>
    </row>
    <row r="9" spans="1:12" ht="15.6" x14ac:dyDescent="0.6">
      <c r="A9" s="5" t="s">
        <v>25</v>
      </c>
      <c r="B9" s="8">
        <v>499</v>
      </c>
      <c r="C9" s="11">
        <v>7.1726318815581003E-2</v>
      </c>
      <c r="D9" s="8">
        <v>364811465</v>
      </c>
      <c r="E9" s="11">
        <v>0.10495064088851</v>
      </c>
      <c r="F9" s="8">
        <v>731085.10019999999</v>
      </c>
      <c r="G9" s="8">
        <v>19.7956</v>
      </c>
      <c r="H9" s="11">
        <v>0.99908849180000003</v>
      </c>
      <c r="I9" s="8">
        <v>630000</v>
      </c>
      <c r="J9" s="8">
        <v>9</v>
      </c>
      <c r="K9" s="11">
        <v>1</v>
      </c>
      <c r="L9" s="1"/>
    </row>
    <row r="10" spans="1:12" ht="15.6" x14ac:dyDescent="0.6">
      <c r="A10" s="4" t="s">
        <v>13</v>
      </c>
      <c r="B10" s="7">
        <v>454</v>
      </c>
      <c r="C10" s="10">
        <v>6.5258013511570998E-2</v>
      </c>
      <c r="D10" s="7">
        <v>159826785</v>
      </c>
      <c r="E10" s="10">
        <v>4.5979704933067002E-2</v>
      </c>
      <c r="F10" s="7">
        <v>352041.37665200001</v>
      </c>
      <c r="G10" s="7">
        <v>22.9802</v>
      </c>
      <c r="H10" s="10">
        <v>0.9993216412</v>
      </c>
      <c r="I10" s="7">
        <v>300000</v>
      </c>
      <c r="J10" s="7">
        <v>12</v>
      </c>
      <c r="K10" s="10">
        <v>1</v>
      </c>
      <c r="L10" s="1"/>
    </row>
    <row r="11" spans="1:12" ht="15.6" x14ac:dyDescent="0.6">
      <c r="A11" s="5" t="s">
        <v>23</v>
      </c>
      <c r="B11" s="8">
        <v>413</v>
      </c>
      <c r="C11" s="11">
        <v>5.9364668679028003E-2</v>
      </c>
      <c r="D11" s="8">
        <v>238396411</v>
      </c>
      <c r="E11" s="11">
        <v>6.8582976469694995E-2</v>
      </c>
      <c r="F11" s="8">
        <v>577231.01936999999</v>
      </c>
      <c r="G11" s="8">
        <v>25.8765</v>
      </c>
      <c r="H11" s="11">
        <v>0.994749353</v>
      </c>
      <c r="I11" s="8">
        <v>499500</v>
      </c>
      <c r="J11" s="8">
        <v>12</v>
      </c>
      <c r="K11" s="11">
        <v>1</v>
      </c>
      <c r="L11" s="1"/>
    </row>
    <row r="12" spans="1:12" ht="15.6" x14ac:dyDescent="0.6">
      <c r="A12" s="4" t="s">
        <v>17</v>
      </c>
      <c r="B12" s="7">
        <v>365</v>
      </c>
      <c r="C12" s="10">
        <v>5.2465143021416999E-2</v>
      </c>
      <c r="D12" s="7">
        <v>151820821</v>
      </c>
      <c r="E12" s="10">
        <v>4.3676512371038999E-2</v>
      </c>
      <c r="F12" s="7">
        <v>415947.45479500003</v>
      </c>
      <c r="G12" s="7">
        <v>26.8932</v>
      </c>
      <c r="H12" s="10">
        <v>0.99857244300000003</v>
      </c>
      <c r="I12" s="7">
        <v>379335</v>
      </c>
      <c r="J12" s="7">
        <v>12</v>
      </c>
      <c r="K12" s="10">
        <v>1</v>
      </c>
      <c r="L12" s="1"/>
    </row>
    <row r="13" spans="1:12" ht="15.6" x14ac:dyDescent="0.6">
      <c r="A13" s="5" t="s">
        <v>12</v>
      </c>
      <c r="B13" s="8">
        <v>224</v>
      </c>
      <c r="C13" s="11">
        <v>3.2197786402185E-2</v>
      </c>
      <c r="D13" s="8">
        <v>84614821</v>
      </c>
      <c r="E13" s="11">
        <v>2.4342381050487E-2</v>
      </c>
      <c r="F13" s="8">
        <v>377744.736607</v>
      </c>
      <c r="G13" s="8">
        <v>38.517899999999997</v>
      </c>
      <c r="H13" s="11">
        <v>0.99720974620000002</v>
      </c>
      <c r="I13" s="8">
        <v>379990</v>
      </c>
      <c r="J13" s="8">
        <v>18</v>
      </c>
      <c r="K13" s="11">
        <v>1</v>
      </c>
      <c r="L13" s="1"/>
    </row>
    <row r="14" spans="1:12" ht="15.6" x14ac:dyDescent="0.6">
      <c r="A14" s="4" t="s">
        <v>16</v>
      </c>
      <c r="B14" s="7">
        <v>175</v>
      </c>
      <c r="C14" s="10">
        <v>2.5154520626706998E-2</v>
      </c>
      <c r="D14" s="7">
        <v>61057138</v>
      </c>
      <c r="E14" s="10">
        <v>1.7565198407122999E-2</v>
      </c>
      <c r="F14" s="7">
        <v>348897.93142899999</v>
      </c>
      <c r="G14" s="7">
        <v>30.468599999999999</v>
      </c>
      <c r="H14" s="10">
        <v>1.0004424719</v>
      </c>
      <c r="I14" s="7">
        <v>331000</v>
      </c>
      <c r="J14" s="7">
        <v>16</v>
      </c>
      <c r="K14" s="10">
        <v>1</v>
      </c>
      <c r="L14" s="1"/>
    </row>
    <row r="15" spans="1:12" ht="15.6" x14ac:dyDescent="0.6">
      <c r="A15" s="5" t="s">
        <v>19</v>
      </c>
      <c r="B15" s="8">
        <v>127</v>
      </c>
      <c r="C15" s="11">
        <v>1.8254994969096001E-2</v>
      </c>
      <c r="D15" s="8">
        <v>49434197</v>
      </c>
      <c r="E15" s="11">
        <v>1.4221457258638E-2</v>
      </c>
      <c r="F15" s="8">
        <v>389245.64566899999</v>
      </c>
      <c r="G15" s="8">
        <v>36.464599999999997</v>
      </c>
      <c r="H15" s="11">
        <v>1.0004176039999999</v>
      </c>
      <c r="I15" s="8">
        <v>322000</v>
      </c>
      <c r="J15" s="8">
        <v>12</v>
      </c>
      <c r="K15" s="11">
        <v>1</v>
      </c>
      <c r="L15" s="1"/>
    </row>
    <row r="16" spans="1:12" ht="15.6" x14ac:dyDescent="0.6">
      <c r="A16" s="4" t="s">
        <v>21</v>
      </c>
      <c r="B16" s="7">
        <v>109</v>
      </c>
      <c r="C16" s="10">
        <v>1.5667672847492001E-2</v>
      </c>
      <c r="D16" s="7">
        <v>44489599</v>
      </c>
      <c r="E16" s="10">
        <v>1.2798972554009001E-2</v>
      </c>
      <c r="F16" s="7">
        <v>408161.45871600002</v>
      </c>
      <c r="G16" s="7">
        <v>24.4771</v>
      </c>
      <c r="H16" s="10">
        <v>1.0016211971</v>
      </c>
      <c r="I16" s="7">
        <v>400000</v>
      </c>
      <c r="J16" s="7">
        <v>8</v>
      </c>
      <c r="K16" s="10">
        <v>1</v>
      </c>
      <c r="L16" s="1"/>
    </row>
    <row r="17" spans="1:12" ht="15.6" x14ac:dyDescent="0.6">
      <c r="A17" s="5" t="s">
        <v>32</v>
      </c>
      <c r="B17" s="8">
        <v>95</v>
      </c>
      <c r="C17" s="11">
        <v>1.3655311197355E-2</v>
      </c>
      <c r="D17" s="8">
        <v>32629170</v>
      </c>
      <c r="E17" s="11">
        <v>9.3869097649111992E-3</v>
      </c>
      <c r="F17" s="8">
        <v>343464.94736799999</v>
      </c>
      <c r="G17" s="8">
        <v>26.2211</v>
      </c>
      <c r="H17" s="11">
        <v>0.98533889620000004</v>
      </c>
      <c r="I17" s="8">
        <v>350000</v>
      </c>
      <c r="J17" s="8">
        <v>15</v>
      </c>
      <c r="K17" s="11">
        <v>0.98650499999999997</v>
      </c>
      <c r="L17" s="1"/>
    </row>
    <row r="18" spans="1:12" ht="15.6" x14ac:dyDescent="0.6">
      <c r="A18" s="4" t="s">
        <v>30</v>
      </c>
      <c r="B18" s="7">
        <v>91</v>
      </c>
      <c r="C18" s="10">
        <v>1.3080350725888E-2</v>
      </c>
      <c r="D18" s="7">
        <v>32675425</v>
      </c>
      <c r="E18" s="10">
        <v>9.4002166161481996E-3</v>
      </c>
      <c r="F18" s="7">
        <v>359070.60439599998</v>
      </c>
      <c r="G18" s="7">
        <v>39.120899999999999</v>
      </c>
      <c r="H18" s="10">
        <v>0.99681675089999999</v>
      </c>
      <c r="I18" s="7">
        <v>359990</v>
      </c>
      <c r="J18" s="7">
        <v>17</v>
      </c>
      <c r="K18" s="10">
        <v>1</v>
      </c>
      <c r="L18" s="1"/>
    </row>
    <row r="19" spans="1:12" ht="15.6" x14ac:dyDescent="0.6">
      <c r="A19" s="5" t="s">
        <v>20</v>
      </c>
      <c r="B19" s="8">
        <v>86</v>
      </c>
      <c r="C19" s="11">
        <v>1.2361650136553E-2</v>
      </c>
      <c r="D19" s="8">
        <v>20954004</v>
      </c>
      <c r="E19" s="11">
        <v>6.0281442881197998E-3</v>
      </c>
      <c r="F19" s="8">
        <v>243651.209302</v>
      </c>
      <c r="G19" s="8">
        <v>26.360499999999998</v>
      </c>
      <c r="H19" s="11">
        <v>1.0006405409000001</v>
      </c>
      <c r="I19" s="8">
        <v>225000</v>
      </c>
      <c r="J19" s="8">
        <v>18</v>
      </c>
      <c r="K19" s="11">
        <v>1</v>
      </c>
      <c r="L19" s="1"/>
    </row>
    <row r="20" spans="1:12" ht="15.6" x14ac:dyDescent="0.6">
      <c r="A20" s="4" t="s">
        <v>24</v>
      </c>
      <c r="B20" s="7">
        <v>73</v>
      </c>
      <c r="C20" s="10">
        <v>1.0493028604283E-2</v>
      </c>
      <c r="D20" s="7">
        <v>30408593</v>
      </c>
      <c r="E20" s="10">
        <v>8.7480839558258007E-3</v>
      </c>
      <c r="F20" s="7">
        <v>416556.068493</v>
      </c>
      <c r="G20" s="7">
        <v>25.9589</v>
      </c>
      <c r="H20" s="10">
        <v>0.99490667060000004</v>
      </c>
      <c r="I20" s="7">
        <v>381100</v>
      </c>
      <c r="J20" s="7">
        <v>9</v>
      </c>
      <c r="K20" s="10">
        <v>1</v>
      </c>
      <c r="L20" s="1"/>
    </row>
    <row r="21" spans="1:12" ht="15.6" x14ac:dyDescent="0.6">
      <c r="A21" s="5" t="s">
        <v>18</v>
      </c>
      <c r="B21" s="8">
        <v>67</v>
      </c>
      <c r="C21" s="11">
        <v>9.6305878970821008E-3</v>
      </c>
      <c r="D21" s="8">
        <v>24934652</v>
      </c>
      <c r="E21" s="11">
        <v>7.1733154212461998E-3</v>
      </c>
      <c r="F21" s="8">
        <v>372158.98507499998</v>
      </c>
      <c r="G21" s="8">
        <v>40.134300000000003</v>
      </c>
      <c r="H21" s="11">
        <v>0.98608079189999998</v>
      </c>
      <c r="I21" s="8">
        <v>321700</v>
      </c>
      <c r="J21" s="8">
        <v>25</v>
      </c>
      <c r="K21" s="11">
        <v>1</v>
      </c>
      <c r="L21" s="1"/>
    </row>
    <row r="22" spans="1:12" ht="15.6" x14ac:dyDescent="0.6">
      <c r="A22" s="4" t="s">
        <v>60</v>
      </c>
      <c r="B22" s="7">
        <v>67</v>
      </c>
      <c r="C22" s="10">
        <v>9.6305878970821008E-3</v>
      </c>
      <c r="D22" s="7">
        <v>28023480</v>
      </c>
      <c r="E22" s="10">
        <v>8.0619236731671005E-3</v>
      </c>
      <c r="F22" s="7">
        <v>418260.89552199998</v>
      </c>
      <c r="G22" s="7">
        <v>19.209</v>
      </c>
      <c r="H22" s="10">
        <v>1.002566581</v>
      </c>
      <c r="I22" s="7">
        <v>420000</v>
      </c>
      <c r="J22" s="7">
        <v>9</v>
      </c>
      <c r="K22" s="10">
        <v>1</v>
      </c>
      <c r="L22" s="1"/>
    </row>
    <row r="23" spans="1:12" ht="15.6" x14ac:dyDescent="0.6">
      <c r="A23" s="5" t="s">
        <v>22</v>
      </c>
      <c r="B23" s="8">
        <v>56</v>
      </c>
      <c r="C23" s="11">
        <v>8.0494466005461996E-3</v>
      </c>
      <c r="D23" s="8">
        <v>14600600</v>
      </c>
      <c r="E23" s="11">
        <v>4.2003677909540002E-3</v>
      </c>
      <c r="F23" s="8">
        <v>260725</v>
      </c>
      <c r="G23" s="8">
        <v>43.357100000000003</v>
      </c>
      <c r="H23" s="11">
        <v>0.99778883330000001</v>
      </c>
      <c r="I23" s="8">
        <v>257500</v>
      </c>
      <c r="J23" s="8">
        <v>34.5</v>
      </c>
      <c r="K23" s="11">
        <v>1</v>
      </c>
      <c r="L23" s="1"/>
    </row>
    <row r="24" spans="1:12" ht="15.6" x14ac:dyDescent="0.6">
      <c r="A24" s="4" t="s">
        <v>37</v>
      </c>
      <c r="B24" s="7">
        <v>53</v>
      </c>
      <c r="C24" s="10">
        <v>7.6182262469455002E-3</v>
      </c>
      <c r="D24" s="7">
        <v>17348650</v>
      </c>
      <c r="E24" s="10">
        <v>4.9909394597848003E-3</v>
      </c>
      <c r="F24" s="7">
        <v>327333.01886800001</v>
      </c>
      <c r="G24" s="7">
        <v>26.509399999999999</v>
      </c>
      <c r="H24" s="10">
        <v>0.99622303180000005</v>
      </c>
      <c r="I24" s="7">
        <v>317500</v>
      </c>
      <c r="J24" s="7">
        <v>18</v>
      </c>
      <c r="K24" s="10">
        <v>1</v>
      </c>
      <c r="L24" s="1"/>
    </row>
    <row r="25" spans="1:12" ht="15.6" x14ac:dyDescent="0.6">
      <c r="A25" s="5" t="s">
        <v>36</v>
      </c>
      <c r="B25" s="8">
        <v>52</v>
      </c>
      <c r="C25" s="11">
        <v>7.4744861290786E-3</v>
      </c>
      <c r="D25" s="8">
        <v>13771200</v>
      </c>
      <c r="E25" s="11">
        <v>3.9617621825668997E-3</v>
      </c>
      <c r="F25" s="8">
        <v>264830.76923099998</v>
      </c>
      <c r="G25" s="8">
        <v>37.057699999999997</v>
      </c>
      <c r="H25" s="11">
        <v>0.9898663473</v>
      </c>
      <c r="I25" s="8">
        <v>277500</v>
      </c>
      <c r="J25" s="8">
        <v>15</v>
      </c>
      <c r="K25" s="11">
        <v>1</v>
      </c>
      <c r="L25" s="1"/>
    </row>
    <row r="26" spans="1:12" ht="15.6" x14ac:dyDescent="0.6">
      <c r="A26" s="4" t="s">
        <v>26</v>
      </c>
      <c r="B26" s="7">
        <v>50</v>
      </c>
      <c r="C26" s="10">
        <v>7.1870058933447998E-3</v>
      </c>
      <c r="D26" s="7">
        <v>17280159</v>
      </c>
      <c r="E26" s="10">
        <v>4.9712356537515E-3</v>
      </c>
      <c r="F26" s="7">
        <v>345603.18</v>
      </c>
      <c r="G26" s="7">
        <v>44.64</v>
      </c>
      <c r="H26" s="10">
        <v>1.0065982721</v>
      </c>
      <c r="I26" s="7">
        <v>353450</v>
      </c>
      <c r="J26" s="7">
        <v>29.5</v>
      </c>
      <c r="K26" s="10">
        <v>1.0012975</v>
      </c>
      <c r="L26" s="1"/>
    </row>
    <row r="27" spans="1:12" ht="15.6" x14ac:dyDescent="0.6">
      <c r="A27" s="5" t="s">
        <v>29</v>
      </c>
      <c r="B27" s="8">
        <v>45</v>
      </c>
      <c r="C27" s="11">
        <v>6.4683053040103002E-3</v>
      </c>
      <c r="D27" s="8">
        <v>18655421</v>
      </c>
      <c r="E27" s="11">
        <v>5.3668773540188003E-3</v>
      </c>
      <c r="F27" s="8">
        <v>414564.91111099999</v>
      </c>
      <c r="G27" s="8">
        <v>60.911099999999998</v>
      </c>
      <c r="H27" s="11">
        <v>0.99693324979999998</v>
      </c>
      <c r="I27" s="8">
        <v>400000</v>
      </c>
      <c r="J27" s="8">
        <v>15</v>
      </c>
      <c r="K27" s="11">
        <v>1</v>
      </c>
      <c r="L27" s="1"/>
    </row>
    <row r="28" spans="1:12" ht="15.6" x14ac:dyDescent="0.6">
      <c r="A28" s="4" t="s">
        <v>41</v>
      </c>
      <c r="B28" s="7">
        <v>43</v>
      </c>
      <c r="C28" s="10">
        <v>6.1808250682765997E-3</v>
      </c>
      <c r="D28" s="7">
        <v>17751025</v>
      </c>
      <c r="E28" s="10">
        <v>5.1066965512662999E-3</v>
      </c>
      <c r="F28" s="7">
        <v>412814.53488400002</v>
      </c>
      <c r="G28" s="7">
        <v>15.6279</v>
      </c>
      <c r="H28" s="10">
        <v>1.0092769750999999</v>
      </c>
      <c r="I28" s="7">
        <v>400700</v>
      </c>
      <c r="J28" s="7">
        <v>6</v>
      </c>
      <c r="K28" s="10">
        <v>1</v>
      </c>
      <c r="L28" s="1"/>
    </row>
    <row r="29" spans="1:12" ht="15.6" x14ac:dyDescent="0.6">
      <c r="A29" s="5" t="s">
        <v>89</v>
      </c>
      <c r="B29" s="8">
        <v>41</v>
      </c>
      <c r="C29" s="11">
        <v>5.8933448325428003E-3</v>
      </c>
      <c r="D29" s="8">
        <v>27795489</v>
      </c>
      <c r="E29" s="11">
        <v>7.9963341732131998E-3</v>
      </c>
      <c r="F29" s="8">
        <v>677938.75609799998</v>
      </c>
      <c r="G29" s="8">
        <v>23.6585</v>
      </c>
      <c r="H29" s="11">
        <v>1.004581124</v>
      </c>
      <c r="I29" s="8">
        <v>710000</v>
      </c>
      <c r="J29" s="8">
        <v>9</v>
      </c>
      <c r="K29" s="11">
        <v>1</v>
      </c>
      <c r="L29" s="1"/>
    </row>
    <row r="30" spans="1:12" ht="15.6" x14ac:dyDescent="0.6">
      <c r="A30" s="4" t="s">
        <v>34</v>
      </c>
      <c r="B30" s="7">
        <v>39</v>
      </c>
      <c r="C30" s="10">
        <v>5.6058645968090001E-3</v>
      </c>
      <c r="D30" s="7">
        <v>12025400</v>
      </c>
      <c r="E30" s="10">
        <v>3.4595224054722999E-3</v>
      </c>
      <c r="F30" s="7">
        <v>308343.589744</v>
      </c>
      <c r="G30" s="7">
        <v>41.384599999999999</v>
      </c>
      <c r="H30" s="10">
        <v>0.98842185559999995</v>
      </c>
      <c r="I30" s="7">
        <v>297900</v>
      </c>
      <c r="J30" s="7">
        <v>18</v>
      </c>
      <c r="K30" s="10">
        <v>1</v>
      </c>
      <c r="L30" s="1"/>
    </row>
    <row r="31" spans="1:12" ht="15.6" x14ac:dyDescent="0.6">
      <c r="A31" s="5" t="s">
        <v>47</v>
      </c>
      <c r="B31" s="8">
        <v>38</v>
      </c>
      <c r="C31" s="11">
        <v>5.4621244789421E-3</v>
      </c>
      <c r="D31" s="8">
        <v>9817600</v>
      </c>
      <c r="E31" s="11">
        <v>2.8243723425387E-3</v>
      </c>
      <c r="F31" s="8">
        <v>258357.894737</v>
      </c>
      <c r="G31" s="8">
        <v>45.6053</v>
      </c>
      <c r="H31" s="11">
        <v>0.99165614069999997</v>
      </c>
      <c r="I31" s="8">
        <v>254975</v>
      </c>
      <c r="J31" s="8">
        <v>28</v>
      </c>
      <c r="K31" s="11">
        <v>1</v>
      </c>
      <c r="L31" s="1"/>
    </row>
    <row r="32" spans="1:12" ht="15.6" x14ac:dyDescent="0.6">
      <c r="A32" s="4" t="s">
        <v>28</v>
      </c>
      <c r="B32" s="7">
        <v>36</v>
      </c>
      <c r="C32" s="10">
        <v>5.1746442432082998E-3</v>
      </c>
      <c r="D32" s="7">
        <v>12835300</v>
      </c>
      <c r="E32" s="10">
        <v>3.6925181641324E-3</v>
      </c>
      <c r="F32" s="7">
        <v>356536.11111100001</v>
      </c>
      <c r="G32" s="7">
        <v>20.555599999999998</v>
      </c>
      <c r="H32" s="10">
        <v>0.98371828839999997</v>
      </c>
      <c r="I32" s="7">
        <v>294500</v>
      </c>
      <c r="J32" s="7">
        <v>13.5</v>
      </c>
      <c r="K32" s="10">
        <v>0.98930700000000005</v>
      </c>
      <c r="L32" s="1"/>
    </row>
    <row r="33" spans="1:12" ht="15.6" x14ac:dyDescent="0.6">
      <c r="A33" s="5" t="s">
        <v>27</v>
      </c>
      <c r="B33" s="8">
        <v>35</v>
      </c>
      <c r="C33" s="11">
        <v>5.0309041253413997E-3</v>
      </c>
      <c r="D33" s="8">
        <v>7794085</v>
      </c>
      <c r="E33" s="11">
        <v>2.2422382363710002E-3</v>
      </c>
      <c r="F33" s="8">
        <v>222688.142857</v>
      </c>
      <c r="G33" s="8">
        <v>30.142900000000001</v>
      </c>
      <c r="H33" s="11">
        <v>0.99277787390000005</v>
      </c>
      <c r="I33" s="8">
        <v>220000</v>
      </c>
      <c r="J33" s="8">
        <v>19</v>
      </c>
      <c r="K33" s="11">
        <v>1</v>
      </c>
      <c r="L33" s="1"/>
    </row>
    <row r="34" spans="1:12" ht="15.6" x14ac:dyDescent="0.6">
      <c r="A34" s="4" t="s">
        <v>75</v>
      </c>
      <c r="B34" s="7">
        <v>31</v>
      </c>
      <c r="C34" s="10">
        <v>4.4559436538738001E-3</v>
      </c>
      <c r="D34" s="7">
        <v>14404940</v>
      </c>
      <c r="E34" s="10">
        <v>4.1440794218474001E-3</v>
      </c>
      <c r="F34" s="7">
        <v>464675.483871</v>
      </c>
      <c r="G34" s="7">
        <v>30.677399999999999</v>
      </c>
      <c r="H34" s="10">
        <v>0.98954135119999997</v>
      </c>
      <c r="I34" s="7">
        <v>451500</v>
      </c>
      <c r="J34" s="7">
        <v>12</v>
      </c>
      <c r="K34" s="10">
        <v>1</v>
      </c>
      <c r="L34" s="1"/>
    </row>
    <row r="35" spans="1:12" ht="15.6" x14ac:dyDescent="0.6">
      <c r="A35" s="5" t="s">
        <v>39</v>
      </c>
      <c r="B35" s="8">
        <v>30</v>
      </c>
      <c r="C35" s="11">
        <v>4.3122035360069E-3</v>
      </c>
      <c r="D35" s="8">
        <v>7553228</v>
      </c>
      <c r="E35" s="11">
        <v>2.1729473863356E-3</v>
      </c>
      <c r="F35" s="8">
        <v>251774.26666699999</v>
      </c>
      <c r="G35" s="8">
        <v>28.9</v>
      </c>
      <c r="H35" s="11">
        <v>1.0004751699000001</v>
      </c>
      <c r="I35" s="8">
        <v>250000</v>
      </c>
      <c r="J35" s="8">
        <v>12.5</v>
      </c>
      <c r="K35" s="11">
        <v>1.0010380000000001</v>
      </c>
      <c r="L35" s="1"/>
    </row>
    <row r="36" spans="1:12" ht="15.6" x14ac:dyDescent="0.6">
      <c r="A36" s="4" t="s">
        <v>109</v>
      </c>
      <c r="B36" s="7">
        <v>29</v>
      </c>
      <c r="C36" s="10">
        <v>4.1684634181399999E-3</v>
      </c>
      <c r="D36" s="7">
        <v>12819346</v>
      </c>
      <c r="E36" s="10">
        <v>3.6879284440020001E-3</v>
      </c>
      <c r="F36" s="7">
        <v>442046.41379299999</v>
      </c>
      <c r="G36" s="7">
        <v>20.7241</v>
      </c>
      <c r="H36" s="10">
        <v>1.0065740270000001</v>
      </c>
      <c r="I36" s="7">
        <v>450000</v>
      </c>
      <c r="J36" s="7">
        <v>8</v>
      </c>
      <c r="K36" s="10">
        <v>1.0008049999999999</v>
      </c>
      <c r="L36" s="1"/>
    </row>
    <row r="37" spans="1:12" ht="15.6" x14ac:dyDescent="0.6">
      <c r="A37" s="5" t="s">
        <v>114</v>
      </c>
      <c r="B37" s="8">
        <v>28</v>
      </c>
      <c r="C37" s="11">
        <v>4.0247233002730998E-3</v>
      </c>
      <c r="D37" s="8">
        <v>22577726</v>
      </c>
      <c r="E37" s="11">
        <v>6.4952641044467001E-3</v>
      </c>
      <c r="F37" s="8">
        <v>806347.357143</v>
      </c>
      <c r="G37" s="8">
        <v>24.75</v>
      </c>
      <c r="H37" s="11">
        <v>1.0196002954000001</v>
      </c>
      <c r="I37" s="8">
        <v>779500</v>
      </c>
      <c r="J37" s="8">
        <v>5.5</v>
      </c>
      <c r="K37" s="11">
        <v>1</v>
      </c>
      <c r="L37" s="1"/>
    </row>
    <row r="38" spans="1:12" ht="15.6" x14ac:dyDescent="0.6">
      <c r="A38" s="4" t="s">
        <v>57</v>
      </c>
      <c r="B38" s="7">
        <v>20</v>
      </c>
      <c r="C38" s="10">
        <v>2.8748023573378998E-3</v>
      </c>
      <c r="D38" s="7">
        <v>7053400</v>
      </c>
      <c r="E38" s="10">
        <v>2.0291545673955E-3</v>
      </c>
      <c r="F38" s="7">
        <v>352670</v>
      </c>
      <c r="G38" s="7">
        <v>8.3000000000000007</v>
      </c>
      <c r="H38" s="10">
        <v>0.96871730860000005</v>
      </c>
      <c r="I38" s="7">
        <v>285000</v>
      </c>
      <c r="J38" s="7">
        <v>6</v>
      </c>
      <c r="K38" s="10">
        <v>1</v>
      </c>
      <c r="L38" s="1"/>
    </row>
    <row r="39" spans="1:12" ht="15.6" x14ac:dyDescent="0.6">
      <c r="A39" s="5" t="s">
        <v>77</v>
      </c>
      <c r="B39" s="8">
        <v>19</v>
      </c>
      <c r="C39" s="11">
        <v>2.7310622394710001E-3</v>
      </c>
      <c r="D39" s="8">
        <v>6807910</v>
      </c>
      <c r="E39" s="11">
        <v>1.9585308746020002E-3</v>
      </c>
      <c r="F39" s="8">
        <v>358311.05263200001</v>
      </c>
      <c r="G39" s="8">
        <v>36.947400000000002</v>
      </c>
      <c r="H39" s="11">
        <v>0.9932519272</v>
      </c>
      <c r="I39" s="8">
        <v>365000</v>
      </c>
      <c r="J39" s="8">
        <v>14</v>
      </c>
      <c r="K39" s="11">
        <v>1</v>
      </c>
      <c r="L39" s="1"/>
    </row>
    <row r="40" spans="1:12" ht="15.6" x14ac:dyDescent="0.6">
      <c r="A40" s="4" t="s">
        <v>65</v>
      </c>
      <c r="B40" s="7">
        <v>18</v>
      </c>
      <c r="C40" s="10">
        <v>2.5873221216041E-3</v>
      </c>
      <c r="D40" s="7">
        <v>5428500</v>
      </c>
      <c r="E40" s="10">
        <v>1.5616958586081001E-3</v>
      </c>
      <c r="F40" s="7">
        <v>301583.33333300002</v>
      </c>
      <c r="G40" s="7">
        <v>58.333300000000001</v>
      </c>
      <c r="H40" s="10">
        <v>0.95953583980000001</v>
      </c>
      <c r="I40" s="7">
        <v>249500</v>
      </c>
      <c r="J40" s="7">
        <v>46.5</v>
      </c>
      <c r="K40" s="10">
        <v>0.96773149999999997</v>
      </c>
      <c r="L40" s="1"/>
    </row>
    <row r="41" spans="1:12" ht="15.6" x14ac:dyDescent="0.6">
      <c r="A41" s="5" t="s">
        <v>52</v>
      </c>
      <c r="B41" s="8">
        <v>17</v>
      </c>
      <c r="C41" s="11">
        <v>2.4435820037371999E-3</v>
      </c>
      <c r="D41" s="8">
        <v>5697372</v>
      </c>
      <c r="E41" s="11">
        <v>1.6390461927512001E-3</v>
      </c>
      <c r="F41" s="8">
        <v>335139.52941199997</v>
      </c>
      <c r="G41" s="8">
        <v>31.470600000000001</v>
      </c>
      <c r="H41" s="11">
        <v>0.99208741869999995</v>
      </c>
      <c r="I41" s="8">
        <v>340000</v>
      </c>
      <c r="J41" s="8">
        <v>15</v>
      </c>
      <c r="K41" s="11">
        <v>1</v>
      </c>
      <c r="L41" s="1"/>
    </row>
    <row r="42" spans="1:12" ht="15.6" x14ac:dyDescent="0.6">
      <c r="A42" s="4" t="s">
        <v>87</v>
      </c>
      <c r="B42" s="7">
        <v>17</v>
      </c>
      <c r="C42" s="10">
        <v>2.4435820037371999E-3</v>
      </c>
      <c r="D42" s="7">
        <v>5815890</v>
      </c>
      <c r="E42" s="10">
        <v>1.6731419963378999E-3</v>
      </c>
      <c r="F42" s="7">
        <v>342111.17647100001</v>
      </c>
      <c r="G42" s="7">
        <v>18.647099999999998</v>
      </c>
      <c r="H42" s="10">
        <v>0.97332116400000002</v>
      </c>
      <c r="I42" s="7">
        <v>325000</v>
      </c>
      <c r="J42" s="7">
        <v>17</v>
      </c>
      <c r="K42" s="10">
        <v>0.99676399999999998</v>
      </c>
      <c r="L42" s="1"/>
    </row>
    <row r="43" spans="1:12" ht="15.6" x14ac:dyDescent="0.6">
      <c r="A43" s="5" t="s">
        <v>38</v>
      </c>
      <c r="B43" s="8">
        <v>16</v>
      </c>
      <c r="C43" s="11">
        <v>2.2998418858702998E-3</v>
      </c>
      <c r="D43" s="8">
        <v>4745050</v>
      </c>
      <c r="E43" s="11">
        <v>1.3650778177928999E-3</v>
      </c>
      <c r="F43" s="8">
        <v>296565.625</v>
      </c>
      <c r="G43" s="8">
        <v>22.125</v>
      </c>
      <c r="H43" s="11">
        <v>0.99346837710000002</v>
      </c>
      <c r="I43" s="8">
        <v>279950</v>
      </c>
      <c r="J43" s="8">
        <v>8</v>
      </c>
      <c r="K43" s="11">
        <v>1</v>
      </c>
      <c r="L43" s="1"/>
    </row>
    <row r="44" spans="1:12" ht="15.6" x14ac:dyDescent="0.6">
      <c r="A44" s="4" t="s">
        <v>48</v>
      </c>
      <c r="B44" s="7">
        <v>16</v>
      </c>
      <c r="C44" s="10">
        <v>2.2998418858702998E-3</v>
      </c>
      <c r="D44" s="7">
        <v>4893210</v>
      </c>
      <c r="E44" s="10">
        <v>1.4077011683337999E-3</v>
      </c>
      <c r="F44" s="7">
        <v>305825.625</v>
      </c>
      <c r="G44" s="7">
        <v>43.0625</v>
      </c>
      <c r="H44" s="10">
        <v>0.98717401429999996</v>
      </c>
      <c r="I44" s="7">
        <v>297200</v>
      </c>
      <c r="J44" s="7">
        <v>18</v>
      </c>
      <c r="K44" s="10">
        <v>1</v>
      </c>
      <c r="L44" s="1"/>
    </row>
    <row r="45" spans="1:12" ht="15.6" x14ac:dyDescent="0.6">
      <c r="A45" s="5" t="s">
        <v>43</v>
      </c>
      <c r="B45" s="8">
        <v>16</v>
      </c>
      <c r="C45" s="11">
        <v>2.2998418858702998E-3</v>
      </c>
      <c r="D45" s="8">
        <v>4621990</v>
      </c>
      <c r="E45" s="11">
        <v>1.3296753507465999E-3</v>
      </c>
      <c r="F45" s="8">
        <v>288874.375</v>
      </c>
      <c r="G45" s="8">
        <v>43.4375</v>
      </c>
      <c r="H45" s="11">
        <v>1.0020892817</v>
      </c>
      <c r="I45" s="8">
        <v>282250</v>
      </c>
      <c r="J45" s="8">
        <v>32.5</v>
      </c>
      <c r="K45" s="11">
        <v>1</v>
      </c>
      <c r="L45" s="1"/>
    </row>
    <row r="46" spans="1:12" ht="15.6" x14ac:dyDescent="0.6">
      <c r="A46" s="4" t="s">
        <v>42</v>
      </c>
      <c r="B46" s="7">
        <v>15</v>
      </c>
      <c r="C46" s="10">
        <v>2.1561017680034001E-3</v>
      </c>
      <c r="D46" s="7">
        <v>5045325</v>
      </c>
      <c r="E46" s="10">
        <v>1.4514623114732E-3</v>
      </c>
      <c r="F46" s="7">
        <v>336355</v>
      </c>
      <c r="G46" s="7">
        <v>29.333300000000001</v>
      </c>
      <c r="H46" s="10">
        <v>0.98048505789999996</v>
      </c>
      <c r="I46" s="7">
        <v>335000</v>
      </c>
      <c r="J46" s="7">
        <v>26</v>
      </c>
      <c r="K46" s="10">
        <v>1</v>
      </c>
      <c r="L46" s="1"/>
    </row>
    <row r="47" spans="1:12" ht="15.6" x14ac:dyDescent="0.6">
      <c r="A47" s="5" t="s">
        <v>50</v>
      </c>
      <c r="B47" s="8">
        <v>14</v>
      </c>
      <c r="C47" s="11">
        <v>2.0123616501366002E-3</v>
      </c>
      <c r="D47" s="8">
        <v>5035800</v>
      </c>
      <c r="E47" s="11">
        <v>1.448722115645E-3</v>
      </c>
      <c r="F47" s="8">
        <v>359700</v>
      </c>
      <c r="G47" s="8">
        <v>73.714299999999994</v>
      </c>
      <c r="H47" s="11">
        <v>0.99408388879999998</v>
      </c>
      <c r="I47" s="8">
        <v>390000</v>
      </c>
      <c r="J47" s="8">
        <v>39</v>
      </c>
      <c r="K47" s="11">
        <v>1</v>
      </c>
      <c r="L47" s="1"/>
    </row>
    <row r="48" spans="1:12" ht="15.6" x14ac:dyDescent="0.6">
      <c r="A48" s="4" t="s">
        <v>49</v>
      </c>
      <c r="B48" s="7">
        <v>12</v>
      </c>
      <c r="C48" s="10">
        <v>1.7248814144028E-3</v>
      </c>
      <c r="D48" s="7">
        <v>4707200</v>
      </c>
      <c r="E48" s="10">
        <v>1.3541889556305E-3</v>
      </c>
      <c r="F48" s="7">
        <v>392266.66666699998</v>
      </c>
      <c r="G48" s="7">
        <v>73.583299999999994</v>
      </c>
      <c r="H48" s="10">
        <v>0.98830467290000001</v>
      </c>
      <c r="I48" s="7">
        <v>347150</v>
      </c>
      <c r="J48" s="7">
        <v>23.5</v>
      </c>
      <c r="K48" s="10">
        <v>0.99130450000000003</v>
      </c>
      <c r="L48" s="1"/>
    </row>
    <row r="49" spans="1:12" ht="15.6" x14ac:dyDescent="0.6">
      <c r="A49" s="5" t="s">
        <v>64</v>
      </c>
      <c r="B49" s="8">
        <v>12</v>
      </c>
      <c r="C49" s="11">
        <v>1.7248814144028E-3</v>
      </c>
      <c r="D49" s="8">
        <v>3971620</v>
      </c>
      <c r="E49" s="11">
        <v>1.1425739165451E-3</v>
      </c>
      <c r="F49" s="8">
        <v>330968.33333300002</v>
      </c>
      <c r="G49" s="8">
        <v>59.833300000000001</v>
      </c>
      <c r="H49" s="11">
        <v>0.9949912206</v>
      </c>
      <c r="I49" s="8">
        <v>319975</v>
      </c>
      <c r="J49" s="8">
        <v>41</v>
      </c>
      <c r="K49" s="11">
        <v>1</v>
      </c>
      <c r="L49" s="1"/>
    </row>
    <row r="50" spans="1:12" ht="15.6" x14ac:dyDescent="0.6">
      <c r="A50" s="4" t="s">
        <v>121</v>
      </c>
      <c r="B50" s="7">
        <v>10</v>
      </c>
      <c r="C50" s="10">
        <v>1.437401178669E-3</v>
      </c>
      <c r="D50" s="7">
        <v>1494657</v>
      </c>
      <c r="E50" s="10">
        <v>4.2998980324945001E-4</v>
      </c>
      <c r="F50" s="7">
        <v>149465.70000000001</v>
      </c>
      <c r="G50" s="7">
        <v>106.9</v>
      </c>
      <c r="H50" s="10">
        <v>0.92604494309999996</v>
      </c>
      <c r="I50" s="7">
        <v>148375</v>
      </c>
      <c r="J50" s="7">
        <v>70.5</v>
      </c>
      <c r="K50" s="10">
        <v>0.94757599999999997</v>
      </c>
      <c r="L50" s="1"/>
    </row>
    <row r="51" spans="1:12" ht="15.6" x14ac:dyDescent="0.6">
      <c r="A51" s="5" t="s">
        <v>35</v>
      </c>
      <c r="B51" s="8">
        <v>10</v>
      </c>
      <c r="C51" s="11">
        <v>1.437401178669E-3</v>
      </c>
      <c r="D51" s="8">
        <v>3010190</v>
      </c>
      <c r="E51" s="11">
        <v>8.6598531023738005E-4</v>
      </c>
      <c r="F51" s="8">
        <v>301019</v>
      </c>
      <c r="G51" s="8">
        <v>19.8</v>
      </c>
      <c r="H51" s="11">
        <v>0.99660651629999997</v>
      </c>
      <c r="I51" s="8">
        <v>296450</v>
      </c>
      <c r="J51" s="8">
        <v>15</v>
      </c>
      <c r="K51" s="11">
        <v>1</v>
      </c>
      <c r="L51" s="1"/>
    </row>
    <row r="52" spans="1:12" ht="15.6" x14ac:dyDescent="0.6">
      <c r="A52" s="4" t="s">
        <v>71</v>
      </c>
      <c r="B52" s="7">
        <v>8</v>
      </c>
      <c r="C52" s="10">
        <v>1.1499209429352E-3</v>
      </c>
      <c r="D52" s="7">
        <v>2457000</v>
      </c>
      <c r="E52" s="10">
        <v>7.0684106559826005E-4</v>
      </c>
      <c r="F52" s="7">
        <v>307125</v>
      </c>
      <c r="G52" s="7">
        <v>77.375</v>
      </c>
      <c r="H52" s="10">
        <v>0.96117267510000004</v>
      </c>
      <c r="I52" s="7">
        <v>260000</v>
      </c>
      <c r="J52" s="7">
        <v>51</v>
      </c>
      <c r="K52" s="10">
        <v>0.97995600000000005</v>
      </c>
      <c r="L52" s="1"/>
    </row>
    <row r="53" spans="1:12" ht="15.6" x14ac:dyDescent="0.6">
      <c r="A53" s="5" t="s">
        <v>58</v>
      </c>
      <c r="B53" s="8">
        <v>8</v>
      </c>
      <c r="C53" s="11">
        <v>1.1499209429352E-3</v>
      </c>
      <c r="D53" s="8">
        <v>2515400</v>
      </c>
      <c r="E53" s="11">
        <v>7.2364184631904004E-4</v>
      </c>
      <c r="F53" s="8">
        <v>314425</v>
      </c>
      <c r="G53" s="8">
        <v>9</v>
      </c>
      <c r="H53" s="11">
        <v>1.0051081187999999</v>
      </c>
      <c r="I53" s="8">
        <v>325000</v>
      </c>
      <c r="J53" s="8">
        <v>7.5</v>
      </c>
      <c r="K53" s="11">
        <v>1</v>
      </c>
      <c r="L53" s="1"/>
    </row>
    <row r="54" spans="1:12" ht="15.6" x14ac:dyDescent="0.6">
      <c r="A54" s="4" t="s">
        <v>56</v>
      </c>
      <c r="B54" s="7">
        <v>7</v>
      </c>
      <c r="C54" s="10">
        <v>1.0061808250683001E-3</v>
      </c>
      <c r="D54" s="7">
        <v>4455270</v>
      </c>
      <c r="E54" s="10">
        <v>1.2817125740041001E-3</v>
      </c>
      <c r="F54" s="7">
        <v>636467.142857</v>
      </c>
      <c r="G54" s="7">
        <v>2.1429</v>
      </c>
      <c r="H54" s="10">
        <v>1.0015870467000001</v>
      </c>
      <c r="I54" s="7">
        <v>621350</v>
      </c>
      <c r="J54" s="7">
        <v>1</v>
      </c>
      <c r="K54" s="10">
        <v>1</v>
      </c>
      <c r="L54" s="1"/>
    </row>
    <row r="55" spans="1:12" ht="15.6" x14ac:dyDescent="0.6">
      <c r="A55" s="5" t="s">
        <v>54</v>
      </c>
      <c r="B55" s="8">
        <v>6</v>
      </c>
      <c r="C55" s="11">
        <v>8.6244070720138005E-4</v>
      </c>
      <c r="D55" s="8">
        <v>2162000</v>
      </c>
      <c r="E55" s="11">
        <v>6.2197410819025002E-4</v>
      </c>
      <c r="F55" s="8">
        <v>360333.33333300002</v>
      </c>
      <c r="G55" s="8">
        <v>29.166699999999999</v>
      </c>
      <c r="H55" s="11">
        <v>0.98564638540000005</v>
      </c>
      <c r="I55" s="8">
        <v>365000</v>
      </c>
      <c r="J55" s="8">
        <v>29</v>
      </c>
      <c r="K55" s="11">
        <v>0.98809499999999995</v>
      </c>
      <c r="L55" s="1"/>
    </row>
    <row r="56" spans="1:12" ht="15.6" x14ac:dyDescent="0.6">
      <c r="A56" s="4" t="s">
        <v>112</v>
      </c>
      <c r="B56" s="7">
        <v>5</v>
      </c>
      <c r="C56" s="10">
        <v>7.1870058933448005E-4</v>
      </c>
      <c r="D56" s="7">
        <v>1719000</v>
      </c>
      <c r="E56" s="10">
        <v>4.9452982977754004E-4</v>
      </c>
      <c r="F56" s="7">
        <v>343800</v>
      </c>
      <c r="G56" s="7">
        <v>16</v>
      </c>
      <c r="H56" s="10">
        <v>0.9921103724</v>
      </c>
      <c r="I56" s="7">
        <v>325000</v>
      </c>
      <c r="J56" s="7">
        <v>5</v>
      </c>
      <c r="K56" s="10">
        <v>1</v>
      </c>
      <c r="L56" s="1"/>
    </row>
    <row r="57" spans="1:12" ht="15.6" x14ac:dyDescent="0.6">
      <c r="A57" s="5" t="s">
        <v>79</v>
      </c>
      <c r="B57" s="8">
        <v>5</v>
      </c>
      <c r="C57" s="11">
        <v>7.1870058933448005E-4</v>
      </c>
      <c r="D57" s="8">
        <v>1408400</v>
      </c>
      <c r="E57" s="11">
        <v>4.0517499258794999E-4</v>
      </c>
      <c r="F57" s="8">
        <v>281680</v>
      </c>
      <c r="G57" s="8">
        <v>141.80000000000001</v>
      </c>
      <c r="H57" s="11">
        <v>0.94230903990000003</v>
      </c>
      <c r="I57" s="8">
        <v>220000</v>
      </c>
      <c r="J57" s="8">
        <v>56</v>
      </c>
      <c r="K57" s="11">
        <v>0.917049</v>
      </c>
      <c r="L57" s="1"/>
    </row>
    <row r="58" spans="1:12" ht="15.6" x14ac:dyDescent="0.6">
      <c r="A58" s="4" t="s">
        <v>67</v>
      </c>
      <c r="B58" s="7">
        <v>4</v>
      </c>
      <c r="C58" s="10">
        <v>5.7496047146759002E-4</v>
      </c>
      <c r="D58" s="7">
        <v>1008980</v>
      </c>
      <c r="E58" s="10">
        <v>2.9026800910350999E-4</v>
      </c>
      <c r="F58" s="7">
        <v>252245</v>
      </c>
      <c r="G58" s="7">
        <v>20.25</v>
      </c>
      <c r="H58" s="10">
        <v>0.98113154150000004</v>
      </c>
      <c r="I58" s="7">
        <v>249990</v>
      </c>
      <c r="J58" s="7">
        <v>19</v>
      </c>
      <c r="K58" s="10">
        <v>0.99056599999999995</v>
      </c>
      <c r="L58" s="1"/>
    </row>
    <row r="59" spans="1:12" ht="15.6" x14ac:dyDescent="0.6">
      <c r="A59" s="5" t="s">
        <v>62</v>
      </c>
      <c r="B59" s="8">
        <v>3</v>
      </c>
      <c r="C59" s="11">
        <v>4.3122035360069002E-4</v>
      </c>
      <c r="D59" s="8">
        <v>875000</v>
      </c>
      <c r="E59" s="11">
        <v>2.5172402621020999E-4</v>
      </c>
      <c r="F59" s="8">
        <v>291666.66666699998</v>
      </c>
      <c r="G59" s="8">
        <v>9.3332999999999995</v>
      </c>
      <c r="H59" s="11">
        <v>1.0298180228</v>
      </c>
      <c r="I59" s="8">
        <v>295000</v>
      </c>
      <c r="J59" s="8">
        <v>2</v>
      </c>
      <c r="K59" s="11">
        <v>1.0167269999999999</v>
      </c>
      <c r="L59" s="1"/>
    </row>
    <row r="60" spans="1:12" ht="15.6" x14ac:dyDescent="0.6">
      <c r="A60" s="4" t="s">
        <v>53</v>
      </c>
      <c r="B60" s="7">
        <v>2</v>
      </c>
      <c r="C60" s="10">
        <v>2.8748023573379002E-4</v>
      </c>
      <c r="D60" s="7">
        <v>332000</v>
      </c>
      <c r="E60" s="10">
        <v>9.5511287659186999E-5</v>
      </c>
      <c r="F60" s="7">
        <v>166000</v>
      </c>
      <c r="G60" s="7">
        <v>11.5</v>
      </c>
      <c r="H60" s="10">
        <v>1.1006006006</v>
      </c>
      <c r="I60" s="7">
        <v>166000</v>
      </c>
      <c r="J60" s="7">
        <v>11.5</v>
      </c>
      <c r="K60" s="10">
        <v>1.1006005000000001</v>
      </c>
      <c r="L60" s="1"/>
    </row>
    <row r="61" spans="1:12" ht="15.6" x14ac:dyDescent="0.6">
      <c r="A61" s="5" t="s">
        <v>111</v>
      </c>
      <c r="B61" s="8">
        <v>2</v>
      </c>
      <c r="C61" s="11">
        <v>2.8748023573379002E-4</v>
      </c>
      <c r="D61" s="8">
        <v>649950</v>
      </c>
      <c r="E61" s="11">
        <v>1.8698060666893999E-4</v>
      </c>
      <c r="F61" s="8">
        <v>324975</v>
      </c>
      <c r="G61" s="8">
        <v>26.5</v>
      </c>
      <c r="H61" s="11">
        <v>1</v>
      </c>
      <c r="I61" s="8">
        <v>324975</v>
      </c>
      <c r="J61" s="8">
        <v>26.5</v>
      </c>
      <c r="K61" s="11">
        <v>1</v>
      </c>
      <c r="L61" s="1"/>
    </row>
    <row r="62" spans="1:12" ht="15.6" x14ac:dyDescent="0.6">
      <c r="A62" s="4" t="s">
        <v>66</v>
      </c>
      <c r="B62" s="7">
        <v>2</v>
      </c>
      <c r="C62" s="10">
        <v>2.8748023573379002E-4</v>
      </c>
      <c r="D62" s="7">
        <v>620000</v>
      </c>
      <c r="E62" s="10">
        <v>1.7836445285752001E-4</v>
      </c>
      <c r="F62" s="7">
        <v>310000</v>
      </c>
      <c r="G62" s="7">
        <v>152.5</v>
      </c>
      <c r="H62" s="10">
        <v>0.96019034020000005</v>
      </c>
      <c r="I62" s="7">
        <v>310000</v>
      </c>
      <c r="J62" s="7">
        <v>152.5</v>
      </c>
      <c r="K62" s="10">
        <v>0.96019049999999995</v>
      </c>
      <c r="L62" s="1"/>
    </row>
    <row r="63" spans="1:12" ht="15.6" x14ac:dyDescent="0.6">
      <c r="A63" s="5" t="s">
        <v>85</v>
      </c>
      <c r="B63" s="8">
        <v>2</v>
      </c>
      <c r="C63" s="11">
        <v>2.8748023573379002E-4</v>
      </c>
      <c r="D63" s="8">
        <v>349900</v>
      </c>
      <c r="E63" s="11">
        <v>1.0066084202394E-4</v>
      </c>
      <c r="F63" s="8">
        <v>174950</v>
      </c>
      <c r="G63" s="8">
        <v>89.5</v>
      </c>
      <c r="H63" s="11">
        <v>1</v>
      </c>
      <c r="I63" s="8">
        <v>174950</v>
      </c>
      <c r="J63" s="8">
        <v>89.5</v>
      </c>
      <c r="K63" s="11">
        <v>1</v>
      </c>
      <c r="L63" s="1"/>
    </row>
    <row r="64" spans="1:12" ht="15.6" x14ac:dyDescent="0.6">
      <c r="A64" s="4" t="s">
        <v>45</v>
      </c>
      <c r="B64" s="7">
        <v>2</v>
      </c>
      <c r="C64" s="10">
        <v>2.8748023573379002E-4</v>
      </c>
      <c r="D64" s="7">
        <v>549155</v>
      </c>
      <c r="E64" s="10">
        <v>1.5798343727253E-4</v>
      </c>
      <c r="F64" s="7">
        <v>274577.5</v>
      </c>
      <c r="G64" s="7">
        <v>183.5</v>
      </c>
      <c r="H64" s="10">
        <v>0.97230721880000004</v>
      </c>
      <c r="I64" s="7">
        <v>274577.5</v>
      </c>
      <c r="J64" s="7">
        <v>183.5</v>
      </c>
      <c r="K64" s="10">
        <v>0.97230700000000003</v>
      </c>
      <c r="L64" s="1"/>
    </row>
    <row r="65" spans="1:12" ht="15.6" x14ac:dyDescent="0.6">
      <c r="A65" s="5" t="s">
        <v>82</v>
      </c>
      <c r="B65" s="8">
        <v>2</v>
      </c>
      <c r="C65" s="11">
        <v>2.8748023573379002E-4</v>
      </c>
      <c r="D65" s="8">
        <v>529000</v>
      </c>
      <c r="E65" s="11">
        <v>1.5218515413166001E-4</v>
      </c>
      <c r="F65" s="8">
        <v>264500</v>
      </c>
      <c r="G65" s="8">
        <v>14.5</v>
      </c>
      <c r="H65" s="11">
        <v>0.9981625153</v>
      </c>
      <c r="I65" s="8">
        <v>264500</v>
      </c>
      <c r="J65" s="8">
        <v>14.5</v>
      </c>
      <c r="K65" s="11">
        <v>0.99816249999999995</v>
      </c>
      <c r="L65" s="1"/>
    </row>
    <row r="66" spans="1:12" ht="15.6" x14ac:dyDescent="0.6">
      <c r="A66" s="4" t="s">
        <v>95</v>
      </c>
      <c r="B66" s="7">
        <v>2</v>
      </c>
      <c r="C66" s="10">
        <v>2.8748023573379002E-4</v>
      </c>
      <c r="D66" s="7">
        <v>567400</v>
      </c>
      <c r="E66" s="10">
        <v>1.6323224282477E-4</v>
      </c>
      <c r="F66" s="7">
        <v>283700</v>
      </c>
      <c r="G66" s="7">
        <v>13.5</v>
      </c>
      <c r="H66" s="10">
        <v>0.99553571429999999</v>
      </c>
      <c r="I66" s="7">
        <v>283700</v>
      </c>
      <c r="J66" s="7">
        <v>13.5</v>
      </c>
      <c r="K66" s="10">
        <v>0.99553550000000002</v>
      </c>
      <c r="L66" s="1"/>
    </row>
    <row r="67" spans="1:12" ht="15.6" x14ac:dyDescent="0.6">
      <c r="A67" s="5" t="s">
        <v>93</v>
      </c>
      <c r="B67" s="8">
        <v>2</v>
      </c>
      <c r="C67" s="11">
        <v>2.8748023573379002E-4</v>
      </c>
      <c r="D67" s="8">
        <v>639450</v>
      </c>
      <c r="E67" s="11">
        <v>1.8395991835441999E-4</v>
      </c>
      <c r="F67" s="8">
        <v>319725</v>
      </c>
      <c r="G67" s="8">
        <v>37</v>
      </c>
      <c r="H67" s="11">
        <v>1.0663771085</v>
      </c>
      <c r="I67" s="8">
        <v>319725</v>
      </c>
      <c r="J67" s="8">
        <v>37</v>
      </c>
      <c r="K67" s="11">
        <v>1.0663769999999999</v>
      </c>
      <c r="L67" s="1"/>
    </row>
    <row r="68" spans="1:12" ht="15.6" x14ac:dyDescent="0.6">
      <c r="A68" s="4" t="s">
        <v>46</v>
      </c>
      <c r="B68" s="7">
        <v>1</v>
      </c>
      <c r="C68" s="10">
        <v>1.437401178669E-4</v>
      </c>
      <c r="D68" s="7">
        <v>537000</v>
      </c>
      <c r="E68" s="10">
        <v>1.5448663094272001E-4</v>
      </c>
      <c r="F68" s="7">
        <v>537000</v>
      </c>
      <c r="G68" s="7">
        <v>31</v>
      </c>
      <c r="H68" s="10">
        <v>1</v>
      </c>
      <c r="I68" s="7">
        <v>537000</v>
      </c>
      <c r="J68" s="7">
        <v>31</v>
      </c>
      <c r="K68" s="10">
        <v>1</v>
      </c>
      <c r="L68" s="1"/>
    </row>
    <row r="69" spans="1:12" ht="15.6" x14ac:dyDescent="0.6">
      <c r="A69" s="5" t="s">
        <v>102</v>
      </c>
      <c r="B69" s="8">
        <v>1</v>
      </c>
      <c r="C69" s="11">
        <v>1.437401178669E-4</v>
      </c>
      <c r="D69" s="8">
        <v>235000</v>
      </c>
      <c r="E69" s="11">
        <v>6.7605881325026997E-5</v>
      </c>
      <c r="F69" s="8">
        <v>235000</v>
      </c>
      <c r="G69" s="8">
        <v>16</v>
      </c>
      <c r="H69" s="11">
        <v>1.0449088484</v>
      </c>
      <c r="I69" s="8">
        <v>235000</v>
      </c>
      <c r="J69" s="8">
        <v>16</v>
      </c>
      <c r="K69" s="11">
        <v>1.0449090000000001</v>
      </c>
      <c r="L69" s="1"/>
    </row>
    <row r="70" spans="1:12" ht="15.6" x14ac:dyDescent="0.6">
      <c r="A70" s="4" t="s">
        <v>88</v>
      </c>
      <c r="B70" s="7">
        <v>1</v>
      </c>
      <c r="C70" s="10">
        <v>1.437401178669E-4</v>
      </c>
      <c r="D70" s="7">
        <v>90000</v>
      </c>
      <c r="E70" s="10">
        <v>2.5891614124478E-5</v>
      </c>
      <c r="F70" s="7">
        <v>90000</v>
      </c>
      <c r="G70" s="7">
        <v>149</v>
      </c>
      <c r="H70" s="10">
        <v>0.98360655740000003</v>
      </c>
      <c r="I70" s="7">
        <v>90000</v>
      </c>
      <c r="J70" s="7">
        <v>149</v>
      </c>
      <c r="K70" s="10">
        <v>0.98360700000000001</v>
      </c>
      <c r="L70" s="1"/>
    </row>
    <row r="71" spans="1:12" ht="15.6" x14ac:dyDescent="0.6">
      <c r="A71" s="5" t="s">
        <v>96</v>
      </c>
      <c r="B71" s="8">
        <v>1</v>
      </c>
      <c r="C71" s="11">
        <v>1.437401178669E-4</v>
      </c>
      <c r="D71" s="8">
        <v>345000</v>
      </c>
      <c r="E71" s="11">
        <v>9.9251187477168002E-5</v>
      </c>
      <c r="F71" s="8">
        <v>345000</v>
      </c>
      <c r="G71" s="8">
        <v>49</v>
      </c>
      <c r="H71" s="11">
        <v>0.98571428569999997</v>
      </c>
      <c r="I71" s="8">
        <v>345000</v>
      </c>
      <c r="J71" s="8">
        <v>49</v>
      </c>
      <c r="K71" s="11">
        <v>0.98571399999999998</v>
      </c>
      <c r="L71" s="1"/>
    </row>
    <row r="72" spans="1:12" ht="15.6" x14ac:dyDescent="0.6">
      <c r="A72" s="4" t="s">
        <v>40</v>
      </c>
      <c r="B72" s="7">
        <v>1</v>
      </c>
      <c r="C72" s="10">
        <v>1.437401178669E-4</v>
      </c>
      <c r="D72" s="7">
        <v>310000</v>
      </c>
      <c r="E72" s="10">
        <v>8.9182226428759004E-5</v>
      </c>
      <c r="F72" s="7">
        <v>310000</v>
      </c>
      <c r="G72" s="7">
        <v>259</v>
      </c>
      <c r="H72" s="10">
        <v>0.95384615380000004</v>
      </c>
      <c r="I72" s="7">
        <v>310000</v>
      </c>
      <c r="J72" s="7">
        <v>259</v>
      </c>
      <c r="K72" s="10">
        <v>0.95384599999999997</v>
      </c>
      <c r="L72" s="1"/>
    </row>
    <row r="73" spans="1:12" ht="15.6" x14ac:dyDescent="0.6">
      <c r="A73" s="5" t="s">
        <v>55</v>
      </c>
      <c r="B73" s="8">
        <v>1</v>
      </c>
      <c r="C73" s="11">
        <v>1.437401178669E-4</v>
      </c>
      <c r="D73" s="8">
        <v>176400</v>
      </c>
      <c r="E73" s="11">
        <v>5.0747563683978001E-5</v>
      </c>
      <c r="F73" s="8">
        <v>176400</v>
      </c>
      <c r="G73" s="8">
        <v>20</v>
      </c>
      <c r="H73" s="11">
        <v>0.96923076919999995</v>
      </c>
      <c r="I73" s="8">
        <v>176400</v>
      </c>
      <c r="J73" s="8">
        <v>20</v>
      </c>
      <c r="K73" s="11">
        <v>0.96923099999999995</v>
      </c>
      <c r="L73" s="1"/>
    </row>
    <row r="74" spans="1:12" ht="15.6" x14ac:dyDescent="0.6">
      <c r="A74" s="4" t="s">
        <v>31</v>
      </c>
      <c r="B74" s="7">
        <v>1</v>
      </c>
      <c r="C74" s="10">
        <v>1.437401178669E-4</v>
      </c>
      <c r="D74" s="7">
        <v>382050</v>
      </c>
      <c r="E74" s="10">
        <v>1.0990990195841E-4</v>
      </c>
      <c r="F74" s="7">
        <v>382050</v>
      </c>
      <c r="G74" s="7">
        <v>18</v>
      </c>
      <c r="H74" s="10">
        <v>0.97974099240000001</v>
      </c>
      <c r="I74" s="7">
        <v>382050</v>
      </c>
      <c r="J74" s="7">
        <v>18</v>
      </c>
      <c r="K74" s="10">
        <v>0.97974099999999997</v>
      </c>
      <c r="L74" s="1"/>
    </row>
    <row r="75" spans="1:12" ht="15.6" x14ac:dyDescent="0.6">
      <c r="A75" s="5" t="s">
        <v>97</v>
      </c>
      <c r="B75" s="8">
        <v>1</v>
      </c>
      <c r="C75" s="11">
        <v>1.437401178669E-4</v>
      </c>
      <c r="D75" s="8">
        <v>300000</v>
      </c>
      <c r="E75" s="11">
        <v>8.6305380414928001E-5</v>
      </c>
      <c r="F75" s="8">
        <v>300000</v>
      </c>
      <c r="G75" s="8">
        <v>64</v>
      </c>
      <c r="H75" s="11">
        <v>0.95238095239999998</v>
      </c>
      <c r="I75" s="8">
        <v>300000</v>
      </c>
      <c r="J75" s="8">
        <v>64</v>
      </c>
      <c r="K75" s="11">
        <v>0.95238100000000003</v>
      </c>
      <c r="L75" s="1"/>
    </row>
    <row r="76" spans="1:12" ht="15.6" x14ac:dyDescent="0.6">
      <c r="A76" s="4" t="s">
        <v>98</v>
      </c>
      <c r="B76" s="7">
        <v>1</v>
      </c>
      <c r="C76" s="10">
        <v>1.437401178669E-4</v>
      </c>
      <c r="D76" s="7">
        <v>105000</v>
      </c>
      <c r="E76" s="10">
        <v>3.0206883145224999E-5</v>
      </c>
      <c r="F76" s="7">
        <v>105000</v>
      </c>
      <c r="G76" s="7">
        <v>1</v>
      </c>
      <c r="H76" s="10">
        <v>1</v>
      </c>
      <c r="I76" s="7">
        <v>105000</v>
      </c>
      <c r="J76" s="7">
        <v>1</v>
      </c>
      <c r="K76" s="10">
        <v>1</v>
      </c>
      <c r="L76" s="1"/>
    </row>
    <row r="77" spans="1:12" ht="15.6" x14ac:dyDescent="0.6">
      <c r="A77" s="5" t="s">
        <v>68</v>
      </c>
      <c r="B77" s="8">
        <v>1</v>
      </c>
      <c r="C77" s="11">
        <v>1.437401178669E-4</v>
      </c>
      <c r="D77" s="8">
        <v>740000</v>
      </c>
      <c r="E77" s="11">
        <v>2.1288660502348999E-4</v>
      </c>
      <c r="F77" s="8">
        <v>740000</v>
      </c>
      <c r="G77" s="8">
        <v>38</v>
      </c>
      <c r="H77" s="11">
        <v>0.96732026140000005</v>
      </c>
      <c r="I77" s="8">
        <v>740000</v>
      </c>
      <c r="J77" s="8">
        <v>38</v>
      </c>
      <c r="K77" s="11">
        <v>0.96731999999999996</v>
      </c>
      <c r="L77" s="1"/>
    </row>
    <row r="78" spans="1:12" ht="15.6" x14ac:dyDescent="0.6">
      <c r="A78" s="4" t="s">
        <v>76</v>
      </c>
      <c r="B78" s="7">
        <v>1</v>
      </c>
      <c r="C78" s="10">
        <v>1.437401178669E-4</v>
      </c>
      <c r="D78" s="7">
        <v>268500</v>
      </c>
      <c r="E78" s="10">
        <v>7.7243315471360995E-5</v>
      </c>
      <c r="F78" s="7">
        <v>268500</v>
      </c>
      <c r="G78" s="7">
        <v>106</v>
      </c>
      <c r="H78" s="10">
        <v>1</v>
      </c>
      <c r="I78" s="7">
        <v>268500</v>
      </c>
      <c r="J78" s="7">
        <v>106</v>
      </c>
      <c r="K78" s="10">
        <v>1</v>
      </c>
      <c r="L78" s="1"/>
    </row>
    <row r="79" spans="1:12" ht="15.6" x14ac:dyDescent="0.6">
      <c r="A79" s="5" t="s">
        <v>61</v>
      </c>
      <c r="B79" s="8">
        <v>1</v>
      </c>
      <c r="C79" s="11">
        <v>1.437401178669E-4</v>
      </c>
      <c r="D79" s="8">
        <v>275000</v>
      </c>
      <c r="E79" s="11">
        <v>7.9113265380350995E-5</v>
      </c>
      <c r="F79" s="8">
        <v>275000</v>
      </c>
      <c r="G79" s="8">
        <v>6</v>
      </c>
      <c r="H79" s="11">
        <v>1</v>
      </c>
      <c r="I79" s="8">
        <v>275000</v>
      </c>
      <c r="J79" s="8">
        <v>6</v>
      </c>
      <c r="K79" s="11">
        <v>1</v>
      </c>
      <c r="L79" s="1"/>
    </row>
    <row r="80" spans="1:12" ht="15.6" x14ac:dyDescent="0.6">
      <c r="A80" s="4" t="s">
        <v>99</v>
      </c>
      <c r="B80" s="7">
        <v>1</v>
      </c>
      <c r="C80" s="10">
        <v>1.437401178669E-4</v>
      </c>
      <c r="D80" s="7">
        <v>250000</v>
      </c>
      <c r="E80" s="10">
        <v>7.1921150345774003E-5</v>
      </c>
      <c r="F80" s="7">
        <v>250000</v>
      </c>
      <c r="G80" s="7">
        <v>33</v>
      </c>
      <c r="H80" s="10">
        <v>1</v>
      </c>
      <c r="I80" s="7">
        <v>250000</v>
      </c>
      <c r="J80" s="7">
        <v>33</v>
      </c>
      <c r="K80" s="10">
        <v>1</v>
      </c>
      <c r="L80" s="1"/>
    </row>
    <row r="81" spans="1:12" ht="15.6" x14ac:dyDescent="0.6">
      <c r="A81" s="5" t="s">
        <v>59</v>
      </c>
      <c r="B81" s="8">
        <v>1</v>
      </c>
      <c r="C81" s="11">
        <v>1.437401178669E-4</v>
      </c>
      <c r="D81" s="8">
        <v>240000</v>
      </c>
      <c r="E81" s="11">
        <v>6.9044304331943E-5</v>
      </c>
      <c r="F81" s="8">
        <v>240000</v>
      </c>
      <c r="G81" s="8">
        <v>3</v>
      </c>
      <c r="H81" s="11">
        <v>1</v>
      </c>
      <c r="I81" s="8">
        <v>240000</v>
      </c>
      <c r="J81" s="8">
        <v>3</v>
      </c>
      <c r="K81" s="11">
        <v>1</v>
      </c>
      <c r="L81" s="1"/>
    </row>
    <row r="82" spans="1:12" ht="15.6" x14ac:dyDescent="0.6">
      <c r="A82" s="4" t="s">
        <v>74</v>
      </c>
      <c r="B82" s="7">
        <v>1</v>
      </c>
      <c r="C82" s="10">
        <v>1.437401178669E-4</v>
      </c>
      <c r="D82" s="7">
        <v>345000</v>
      </c>
      <c r="E82" s="10">
        <v>9.9251187477168002E-5</v>
      </c>
      <c r="F82" s="7">
        <v>345000</v>
      </c>
      <c r="G82" s="7">
        <v>17</v>
      </c>
      <c r="H82" s="10">
        <v>0.86466165409999995</v>
      </c>
      <c r="I82" s="7">
        <v>345000</v>
      </c>
      <c r="J82" s="7">
        <v>17</v>
      </c>
      <c r="K82" s="10">
        <v>0.86466200000000004</v>
      </c>
      <c r="L82" s="1"/>
    </row>
    <row r="83" spans="1:12" ht="15.6" x14ac:dyDescent="0.6">
      <c r="A83" s="5" t="s">
        <v>90</v>
      </c>
      <c r="B83" s="8">
        <v>1</v>
      </c>
      <c r="C83" s="11">
        <v>1.437401178669E-4</v>
      </c>
      <c r="D83" s="8">
        <v>615000</v>
      </c>
      <c r="E83" s="11">
        <v>1.7692602985060001E-4</v>
      </c>
      <c r="F83" s="8">
        <v>615000</v>
      </c>
      <c r="G83" s="8">
        <v>21</v>
      </c>
      <c r="H83" s="11">
        <v>0.97774244830000001</v>
      </c>
      <c r="I83" s="8">
        <v>615000</v>
      </c>
      <c r="J83" s="8">
        <v>21</v>
      </c>
      <c r="K83" s="11">
        <v>0.977742</v>
      </c>
      <c r="L83" s="1"/>
    </row>
    <row r="84" spans="1:12" ht="15.6" x14ac:dyDescent="0.55000000000000004">
      <c r="A84" s="6" t="s">
        <v>137</v>
      </c>
      <c r="B84" s="9">
        <f>SUM(B6:B83)</f>
        <v>6957</v>
      </c>
      <c r="C84" s="12">
        <f>SUM(C6:C83)</f>
        <v>1.0000000000000011</v>
      </c>
      <c r="D84" s="9">
        <f>SUM(D6:D83)</f>
        <v>3476028940</v>
      </c>
      <c r="E84" s="12">
        <f>SUM(E6:E83)</f>
        <v>1.0000000000000049</v>
      </c>
      <c r="F84" s="9">
        <v>499644.80954400002</v>
      </c>
      <c r="G84" s="9">
        <v>23.212</v>
      </c>
      <c r="H84" s="12">
        <v>1.0011017473999999</v>
      </c>
      <c r="I84" s="9">
        <v>445000</v>
      </c>
      <c r="J84" s="9">
        <v>9</v>
      </c>
      <c r="K84" s="12">
        <v>1</v>
      </c>
      <c r="L8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A85A-9CB9-4385-8673-F47F4C9D37B2}">
  <dimension ref="A1:L18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"/>
    </sheetView>
  </sheetViews>
  <sheetFormatPr defaultRowHeight="14.4" x14ac:dyDescent="0.55000000000000004"/>
  <cols>
    <col min="1" max="1" width="46.15625" customWidth="1"/>
    <col min="2" max="7" width="15" customWidth="1"/>
    <col min="8" max="11" width="10" customWidth="1"/>
    <col min="12" max="12" width="20" customWidth="1"/>
  </cols>
  <sheetData>
    <row r="1" spans="1:12" ht="18.3" x14ac:dyDescent="0.7">
      <c r="A1" s="2" t="s">
        <v>162</v>
      </c>
    </row>
    <row r="2" spans="1:12" ht="18.3" x14ac:dyDescent="0.7">
      <c r="A2" s="2" t="s">
        <v>151</v>
      </c>
    </row>
    <row r="5" spans="1:12" ht="31.2" x14ac:dyDescent="0.55000000000000004">
      <c r="A5" s="3" t="s">
        <v>150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2" ht="15.6" x14ac:dyDescent="0.6">
      <c r="A6" s="4" t="s">
        <v>149</v>
      </c>
      <c r="B6" s="7">
        <v>10271</v>
      </c>
      <c r="C6" s="10">
        <v>0.33231953926294999</v>
      </c>
      <c r="D6" s="7">
        <v>8176317162</v>
      </c>
      <c r="E6" s="10">
        <v>0.48034346849817</v>
      </c>
      <c r="F6" s="7">
        <v>796058.53003599995</v>
      </c>
      <c r="G6" s="7">
        <v>17.785499999999999</v>
      </c>
      <c r="H6" s="10">
        <v>1.0062424409999999</v>
      </c>
      <c r="I6" s="7">
        <v>677000</v>
      </c>
      <c r="J6" s="7">
        <v>7</v>
      </c>
      <c r="K6" s="10">
        <v>1</v>
      </c>
      <c r="L6" s="1"/>
    </row>
    <row r="7" spans="1:12" ht="15.6" x14ac:dyDescent="0.6">
      <c r="A7" s="5" t="s">
        <v>148</v>
      </c>
      <c r="B7" s="8">
        <v>7147</v>
      </c>
      <c r="C7" s="11">
        <v>0.23124211343709</v>
      </c>
      <c r="D7" s="8">
        <v>3038865212</v>
      </c>
      <c r="E7" s="11">
        <v>0.17852769496449</v>
      </c>
      <c r="F7" s="8">
        <v>425194.51685999997</v>
      </c>
      <c r="G7" s="8">
        <v>29.053599999999999</v>
      </c>
      <c r="H7" s="11">
        <v>1.0003504941000001</v>
      </c>
      <c r="I7" s="8">
        <v>365000</v>
      </c>
      <c r="J7" s="8">
        <v>15</v>
      </c>
      <c r="K7" s="11">
        <v>1</v>
      </c>
      <c r="L7" s="1"/>
    </row>
    <row r="8" spans="1:12" ht="15.6" x14ac:dyDescent="0.6">
      <c r="A8" s="4" t="s">
        <v>147</v>
      </c>
      <c r="B8" s="7">
        <v>5353</v>
      </c>
      <c r="C8" s="10">
        <v>0.17319701038599999</v>
      </c>
      <c r="D8" s="7">
        <v>2567685415</v>
      </c>
      <c r="E8" s="10">
        <v>0.15084675579678</v>
      </c>
      <c r="F8" s="7">
        <v>479672.223987</v>
      </c>
      <c r="G8" s="7">
        <v>26.0745</v>
      </c>
      <c r="H8" s="10">
        <v>1.0112363249</v>
      </c>
      <c r="I8" s="7">
        <v>410000</v>
      </c>
      <c r="J8" s="7">
        <v>8</v>
      </c>
      <c r="K8" s="10">
        <v>1</v>
      </c>
      <c r="L8" s="1"/>
    </row>
    <row r="9" spans="1:12" ht="15.6" x14ac:dyDescent="0.6">
      <c r="A9" s="5" t="s">
        <v>146</v>
      </c>
      <c r="B9" s="8">
        <v>3227</v>
      </c>
      <c r="C9" s="11">
        <v>0.10441000420617</v>
      </c>
      <c r="D9" s="8">
        <v>1140819984</v>
      </c>
      <c r="E9" s="11">
        <v>6.7021058159702995E-2</v>
      </c>
      <c r="F9" s="8">
        <v>353523.39138500002</v>
      </c>
      <c r="G9" s="8">
        <v>62.997799999999998</v>
      </c>
      <c r="H9" s="11">
        <v>0.97777762859999995</v>
      </c>
      <c r="I9" s="8">
        <v>313000</v>
      </c>
      <c r="J9" s="8">
        <v>35</v>
      </c>
      <c r="K9" s="11">
        <v>1</v>
      </c>
      <c r="L9" s="1"/>
    </row>
    <row r="10" spans="1:12" ht="15.6" x14ac:dyDescent="0.6">
      <c r="A10" s="4" t="s">
        <v>145</v>
      </c>
      <c r="B10" s="7">
        <v>1109</v>
      </c>
      <c r="C10" s="10">
        <v>3.5881839065584002E-2</v>
      </c>
      <c r="D10" s="7">
        <v>428976129</v>
      </c>
      <c r="E10" s="10">
        <v>2.5201551948648999E-2</v>
      </c>
      <c r="F10" s="7">
        <v>386813.46167699998</v>
      </c>
      <c r="G10" s="7">
        <v>32.209200000000003</v>
      </c>
      <c r="H10" s="10">
        <v>0.98608296719999999</v>
      </c>
      <c r="I10" s="7">
        <v>315000</v>
      </c>
      <c r="J10" s="7">
        <v>10</v>
      </c>
      <c r="K10" s="10">
        <v>1</v>
      </c>
      <c r="L10" s="1"/>
    </row>
    <row r="11" spans="1:12" ht="15.6" x14ac:dyDescent="0.6">
      <c r="A11" s="5" t="s">
        <v>143</v>
      </c>
      <c r="B11" s="8">
        <v>1023</v>
      </c>
      <c r="C11" s="11">
        <v>3.3099297893680997E-2</v>
      </c>
      <c r="D11" s="8">
        <v>375563232</v>
      </c>
      <c r="E11" s="11">
        <v>2.2063643315805001E-2</v>
      </c>
      <c r="F11" s="8">
        <v>367119.483871</v>
      </c>
      <c r="G11" s="8">
        <v>36.241399999999999</v>
      </c>
      <c r="H11" s="11">
        <v>0.98813233960000002</v>
      </c>
      <c r="I11" s="8">
        <v>305000</v>
      </c>
      <c r="J11" s="8">
        <v>13</v>
      </c>
      <c r="K11" s="11">
        <v>1</v>
      </c>
      <c r="L11" s="1"/>
    </row>
    <row r="12" spans="1:12" ht="15.6" x14ac:dyDescent="0.6">
      <c r="A12" s="4" t="s">
        <v>144</v>
      </c>
      <c r="B12" s="7">
        <v>891</v>
      </c>
      <c r="C12" s="10">
        <v>2.8828420746109001E-2</v>
      </c>
      <c r="D12" s="7">
        <v>576788628</v>
      </c>
      <c r="E12" s="10">
        <v>3.3885262114274999E-2</v>
      </c>
      <c r="F12" s="7">
        <v>647349.75084200001</v>
      </c>
      <c r="G12" s="7">
        <v>25.517399999999999</v>
      </c>
      <c r="H12" s="10">
        <v>0.99935978400000003</v>
      </c>
      <c r="I12" s="7">
        <v>496000</v>
      </c>
      <c r="J12" s="7">
        <v>7</v>
      </c>
      <c r="K12" s="10">
        <v>1</v>
      </c>
      <c r="L12" s="1"/>
    </row>
    <row r="13" spans="1:12" ht="15.6" x14ac:dyDescent="0.6">
      <c r="A13" s="5" t="s">
        <v>142</v>
      </c>
      <c r="B13" s="8">
        <v>564</v>
      </c>
      <c r="C13" s="11">
        <v>1.8248293266897E-2</v>
      </c>
      <c r="D13" s="8">
        <v>264469380</v>
      </c>
      <c r="E13" s="11">
        <v>1.5537085558663E-2</v>
      </c>
      <c r="F13" s="8">
        <v>468917.34042600001</v>
      </c>
      <c r="G13" s="8">
        <v>36.579799999999999</v>
      </c>
      <c r="H13" s="11">
        <v>0.99586773399999995</v>
      </c>
      <c r="I13" s="8">
        <v>430500</v>
      </c>
      <c r="J13" s="8">
        <v>14</v>
      </c>
      <c r="K13" s="11">
        <v>1</v>
      </c>
      <c r="L13" s="1"/>
    </row>
    <row r="14" spans="1:12" ht="15.6" x14ac:dyDescent="0.6">
      <c r="A14" s="4" t="s">
        <v>141</v>
      </c>
      <c r="B14" s="7">
        <v>475</v>
      </c>
      <c r="C14" s="10">
        <v>1.5368686705276999E-2</v>
      </c>
      <c r="D14" s="7">
        <v>181761234</v>
      </c>
      <c r="E14" s="10">
        <v>1.0678135381518E-2</v>
      </c>
      <c r="F14" s="7">
        <v>382655.22947399999</v>
      </c>
      <c r="G14" s="7">
        <v>34.772599999999997</v>
      </c>
      <c r="H14" s="10">
        <v>0.99390881009999998</v>
      </c>
      <c r="I14" s="7">
        <v>330000</v>
      </c>
      <c r="J14" s="7">
        <v>9</v>
      </c>
      <c r="K14" s="10">
        <v>1</v>
      </c>
      <c r="L14" s="1"/>
    </row>
    <row r="15" spans="1:12" ht="15.6" x14ac:dyDescent="0.6">
      <c r="A15" s="5" t="s">
        <v>140</v>
      </c>
      <c r="B15" s="8">
        <v>367</v>
      </c>
      <c r="C15" s="11">
        <v>1.1874332675446001E-2</v>
      </c>
      <c r="D15" s="8">
        <v>149173057</v>
      </c>
      <c r="E15" s="11">
        <v>8.7636404246735009E-3</v>
      </c>
      <c r="F15" s="8">
        <v>406466.09536799998</v>
      </c>
      <c r="G15" s="8">
        <v>26.348800000000001</v>
      </c>
      <c r="H15" s="11">
        <v>1.0015569204000001</v>
      </c>
      <c r="I15" s="8">
        <v>356000</v>
      </c>
      <c r="J15" s="8">
        <v>7</v>
      </c>
      <c r="K15" s="11">
        <v>1</v>
      </c>
      <c r="L15" s="1"/>
    </row>
    <row r="16" spans="1:12" ht="15.6" x14ac:dyDescent="0.6">
      <c r="A16" s="4" t="s">
        <v>139</v>
      </c>
      <c r="B16" s="7">
        <v>243</v>
      </c>
      <c r="C16" s="10">
        <v>7.8622965671207006E-3</v>
      </c>
      <c r="D16" s="7">
        <v>46307610</v>
      </c>
      <c r="E16" s="10">
        <v>2.7204861999041E-3</v>
      </c>
      <c r="F16" s="7">
        <v>190566.29629599999</v>
      </c>
      <c r="G16" s="7">
        <v>95.637900000000002</v>
      </c>
      <c r="H16" s="10">
        <v>0.95313201660000002</v>
      </c>
      <c r="I16" s="7">
        <v>175000</v>
      </c>
      <c r="J16" s="7">
        <v>66</v>
      </c>
      <c r="K16" s="10">
        <v>0.97771699999999995</v>
      </c>
      <c r="L16" s="1"/>
    </row>
    <row r="17" spans="1:12" ht="15.6" x14ac:dyDescent="0.6">
      <c r="A17" s="5" t="s">
        <v>138</v>
      </c>
      <c r="B17" s="8">
        <v>237</v>
      </c>
      <c r="C17" s="11">
        <v>7.6681657876856001E-3</v>
      </c>
      <c r="D17" s="8">
        <v>75086926</v>
      </c>
      <c r="E17" s="11">
        <v>4.4112176373651002E-3</v>
      </c>
      <c r="F17" s="8">
        <v>316822.47257400001</v>
      </c>
      <c r="G17" s="8">
        <v>100.557</v>
      </c>
      <c r="H17" s="11">
        <v>0.96538496549999997</v>
      </c>
      <c r="I17" s="8">
        <v>271000</v>
      </c>
      <c r="J17" s="8">
        <v>66</v>
      </c>
      <c r="K17" s="11">
        <v>0.97992000000000001</v>
      </c>
      <c r="L17" s="1"/>
    </row>
    <row r="18" spans="1:12" ht="15.6" x14ac:dyDescent="0.55000000000000004">
      <c r="A18" s="6" t="s">
        <v>137</v>
      </c>
      <c r="B18" s="9">
        <f>SUM(B6:B17)</f>
        <v>30907</v>
      </c>
      <c r="C18" s="12">
        <f>SUM(C6:C17)</f>
        <v>1.0000000000000104</v>
      </c>
      <c r="D18" s="9">
        <f>SUM(D6:D17)</f>
        <v>17021813969</v>
      </c>
      <c r="E18" s="12">
        <f>SUM(E6:E17)</f>
        <v>0.99999999999999556</v>
      </c>
      <c r="F18" s="9">
        <v>550743.00219999999</v>
      </c>
      <c r="G18" s="9">
        <v>29.851299999999998</v>
      </c>
      <c r="H18" s="12">
        <v>1.0000863009000001</v>
      </c>
      <c r="I18" s="9">
        <v>437250</v>
      </c>
      <c r="J18" s="9">
        <v>10</v>
      </c>
      <c r="K18" s="12">
        <v>1</v>
      </c>
      <c r="L1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8912-B4CC-4538-9AEC-EE7A11312BF1}">
  <dimension ref="A1:L18"/>
  <sheetViews>
    <sheetView workbookViewId="0">
      <pane xSplit="1" ySplit="5" topLeftCell="B6" activePane="bottomRight" state="frozen"/>
      <selection pane="topRight"/>
      <selection pane="bottomLeft"/>
      <selection pane="bottomRight" activeCell="B22" sqref="B22"/>
    </sheetView>
  </sheetViews>
  <sheetFormatPr defaultRowHeight="14.4" x14ac:dyDescent="0.55000000000000004"/>
  <cols>
    <col min="1" max="1" width="45.26171875" customWidth="1"/>
    <col min="2" max="7" width="15" customWidth="1"/>
    <col min="8" max="11" width="10" customWidth="1"/>
    <col min="12" max="12" width="20" customWidth="1"/>
  </cols>
  <sheetData>
    <row r="1" spans="1:12" ht="18.3" x14ac:dyDescent="0.7">
      <c r="A1" s="2" t="s">
        <v>162</v>
      </c>
    </row>
    <row r="2" spans="1:12" ht="18.3" x14ac:dyDescent="0.7">
      <c r="A2" s="2" t="s">
        <v>153</v>
      </c>
    </row>
    <row r="5" spans="1:12" ht="31.2" x14ac:dyDescent="0.55000000000000004">
      <c r="A5" s="3" t="s">
        <v>150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2" ht="15.6" x14ac:dyDescent="0.6">
      <c r="A6" s="4" t="s">
        <v>148</v>
      </c>
      <c r="B6" s="7">
        <v>6036</v>
      </c>
      <c r="C6" s="10">
        <v>0.25202505219207</v>
      </c>
      <c r="D6" s="7">
        <v>2668074834</v>
      </c>
      <c r="E6" s="10">
        <v>0.19696716198344999</v>
      </c>
      <c r="F6" s="7">
        <v>442026.97713700001</v>
      </c>
      <c r="G6" s="7">
        <v>28.989100000000001</v>
      </c>
      <c r="H6" s="10">
        <v>1.0007778738999999</v>
      </c>
      <c r="I6" s="7">
        <v>380000</v>
      </c>
      <c r="J6" s="7">
        <v>14</v>
      </c>
      <c r="K6" s="10">
        <v>1</v>
      </c>
      <c r="L6" s="1"/>
    </row>
    <row r="7" spans="1:12" ht="15.6" x14ac:dyDescent="0.6">
      <c r="A7" s="5" t="s">
        <v>149</v>
      </c>
      <c r="B7" s="8">
        <v>5704</v>
      </c>
      <c r="C7" s="11">
        <v>0.23816283924843001</v>
      </c>
      <c r="D7" s="8">
        <v>5538836237</v>
      </c>
      <c r="E7" s="11">
        <v>0.40889739687600002</v>
      </c>
      <c r="F7" s="8">
        <v>971044.22107299999</v>
      </c>
      <c r="G7" s="8">
        <v>17.4574</v>
      </c>
      <c r="H7" s="11">
        <v>1.0080715766999999</v>
      </c>
      <c r="I7" s="8">
        <v>845000</v>
      </c>
      <c r="J7" s="8">
        <v>7</v>
      </c>
      <c r="K7" s="11">
        <v>1</v>
      </c>
      <c r="L7" s="1"/>
    </row>
    <row r="8" spans="1:12" ht="15.6" x14ac:dyDescent="0.6">
      <c r="A8" s="4" t="s">
        <v>147</v>
      </c>
      <c r="B8" s="7">
        <v>4544</v>
      </c>
      <c r="C8" s="10">
        <v>0.18972860125261001</v>
      </c>
      <c r="D8" s="7">
        <v>2245768040</v>
      </c>
      <c r="E8" s="10">
        <v>0.16579091098759</v>
      </c>
      <c r="F8" s="7">
        <v>494227.12147900002</v>
      </c>
      <c r="G8" s="7">
        <v>24.7254</v>
      </c>
      <c r="H8" s="10">
        <v>1.0135304620000001</v>
      </c>
      <c r="I8" s="7">
        <v>419900</v>
      </c>
      <c r="J8" s="7">
        <v>8</v>
      </c>
      <c r="K8" s="10">
        <v>1</v>
      </c>
      <c r="L8" s="1"/>
    </row>
    <row r="9" spans="1:12" ht="15.6" x14ac:dyDescent="0.6">
      <c r="A9" s="5" t="s">
        <v>146</v>
      </c>
      <c r="B9" s="8">
        <v>3126</v>
      </c>
      <c r="C9" s="11">
        <v>0.13052192066806001</v>
      </c>
      <c r="D9" s="8">
        <v>1110004149</v>
      </c>
      <c r="E9" s="11">
        <v>8.1944615732762002E-2</v>
      </c>
      <c r="F9" s="8">
        <v>355087.699616</v>
      </c>
      <c r="G9" s="8">
        <v>63.287599999999998</v>
      </c>
      <c r="H9" s="11">
        <v>0.97735757180000005</v>
      </c>
      <c r="I9" s="8">
        <v>313000</v>
      </c>
      <c r="J9" s="8">
        <v>35</v>
      </c>
      <c r="K9" s="11">
        <v>1</v>
      </c>
      <c r="L9" s="1"/>
    </row>
    <row r="10" spans="1:12" ht="15.6" x14ac:dyDescent="0.6">
      <c r="A10" s="4" t="s">
        <v>145</v>
      </c>
      <c r="B10" s="7">
        <v>1107</v>
      </c>
      <c r="C10" s="10">
        <v>4.6221294363256997E-2</v>
      </c>
      <c r="D10" s="7">
        <v>428057079</v>
      </c>
      <c r="E10" s="10">
        <v>3.1600758323241003E-2</v>
      </c>
      <c r="F10" s="7">
        <v>386682.094851</v>
      </c>
      <c r="G10" s="7">
        <v>32.223100000000002</v>
      </c>
      <c r="H10" s="10">
        <v>0.98607612430000002</v>
      </c>
      <c r="I10" s="7">
        <v>315000</v>
      </c>
      <c r="J10" s="7">
        <v>10</v>
      </c>
      <c r="K10" s="10">
        <v>1</v>
      </c>
      <c r="L10" s="1"/>
    </row>
    <row r="11" spans="1:12" ht="15.6" x14ac:dyDescent="0.6">
      <c r="A11" s="5" t="s">
        <v>143</v>
      </c>
      <c r="B11" s="8">
        <v>894</v>
      </c>
      <c r="C11" s="11">
        <v>3.7327766179540998E-2</v>
      </c>
      <c r="D11" s="8">
        <v>339949032</v>
      </c>
      <c r="E11" s="11">
        <v>2.5096296100389E-2</v>
      </c>
      <c r="F11" s="8">
        <v>380256.18791899999</v>
      </c>
      <c r="G11" s="8">
        <v>35.571599999999997</v>
      </c>
      <c r="H11" s="11">
        <v>0.98786906900000004</v>
      </c>
      <c r="I11" s="8">
        <v>314500</v>
      </c>
      <c r="J11" s="8">
        <v>12</v>
      </c>
      <c r="K11" s="11">
        <v>1</v>
      </c>
      <c r="L11" s="1"/>
    </row>
    <row r="12" spans="1:12" ht="15.6" x14ac:dyDescent="0.6">
      <c r="A12" s="4" t="s">
        <v>144</v>
      </c>
      <c r="B12" s="7">
        <v>817</v>
      </c>
      <c r="C12" s="10">
        <v>3.4112734864300998E-2</v>
      </c>
      <c r="D12" s="7">
        <v>551471428</v>
      </c>
      <c r="E12" s="10">
        <v>4.0711662470602997E-2</v>
      </c>
      <c r="F12" s="7">
        <v>674995.62790700002</v>
      </c>
      <c r="G12" s="7">
        <v>25.4345</v>
      </c>
      <c r="H12" s="10">
        <v>1.0016765213000001</v>
      </c>
      <c r="I12" s="7">
        <v>505000</v>
      </c>
      <c r="J12" s="7">
        <v>7</v>
      </c>
      <c r="K12" s="10">
        <v>1</v>
      </c>
      <c r="L12" s="1"/>
    </row>
    <row r="13" spans="1:12" ht="15.6" x14ac:dyDescent="0.6">
      <c r="A13" s="5" t="s">
        <v>141</v>
      </c>
      <c r="B13" s="8">
        <v>457</v>
      </c>
      <c r="C13" s="11">
        <v>1.9081419624217E-2</v>
      </c>
      <c r="D13" s="8">
        <v>176171184</v>
      </c>
      <c r="E13" s="11">
        <v>1.3005609023238E-2</v>
      </c>
      <c r="F13" s="8">
        <v>385494.93216600001</v>
      </c>
      <c r="G13" s="8">
        <v>35.282299999999999</v>
      </c>
      <c r="H13" s="11">
        <v>0.99396908210000001</v>
      </c>
      <c r="I13" s="8">
        <v>335000</v>
      </c>
      <c r="J13" s="8">
        <v>9</v>
      </c>
      <c r="K13" s="11">
        <v>1</v>
      </c>
      <c r="L13" s="1"/>
    </row>
    <row r="14" spans="1:12" ht="15.6" x14ac:dyDescent="0.6">
      <c r="A14" s="4" t="s">
        <v>142</v>
      </c>
      <c r="B14" s="7">
        <v>450</v>
      </c>
      <c r="C14" s="10">
        <v>1.8789144050104001E-2</v>
      </c>
      <c r="D14" s="7">
        <v>225032300</v>
      </c>
      <c r="E14" s="10">
        <v>1.6612717499815001E-2</v>
      </c>
      <c r="F14" s="7">
        <v>500071.77777799999</v>
      </c>
      <c r="G14" s="7">
        <v>38.751100000000001</v>
      </c>
      <c r="H14" s="10">
        <v>0.99820093389999998</v>
      </c>
      <c r="I14" s="7">
        <v>476999.5</v>
      </c>
      <c r="J14" s="7">
        <v>14</v>
      </c>
      <c r="K14" s="10">
        <v>1</v>
      </c>
      <c r="L14" s="1"/>
    </row>
    <row r="15" spans="1:12" ht="15.6" x14ac:dyDescent="0.6">
      <c r="A15" s="5" t="s">
        <v>140</v>
      </c>
      <c r="B15" s="8">
        <v>354</v>
      </c>
      <c r="C15" s="11">
        <v>1.4780793319415E-2</v>
      </c>
      <c r="D15" s="8">
        <v>145287867</v>
      </c>
      <c r="E15" s="11">
        <v>1.0725688226187E-2</v>
      </c>
      <c r="F15" s="8">
        <v>410417.70338999998</v>
      </c>
      <c r="G15" s="8">
        <v>26.678000000000001</v>
      </c>
      <c r="H15" s="11">
        <v>1.0014572614999999</v>
      </c>
      <c r="I15" s="8">
        <v>360000</v>
      </c>
      <c r="J15" s="8">
        <v>7</v>
      </c>
      <c r="K15" s="11">
        <v>1</v>
      </c>
      <c r="L15" s="1"/>
    </row>
    <row r="16" spans="1:12" ht="15.6" x14ac:dyDescent="0.6">
      <c r="A16" s="4" t="s">
        <v>139</v>
      </c>
      <c r="B16" s="7">
        <v>242</v>
      </c>
      <c r="C16" s="10">
        <v>1.0104384133611999E-2</v>
      </c>
      <c r="D16" s="7">
        <v>45997610</v>
      </c>
      <c r="E16" s="10">
        <v>3.3957138623951998E-3</v>
      </c>
      <c r="F16" s="7">
        <v>190072.768595</v>
      </c>
      <c r="G16" s="7">
        <v>94.962800000000001</v>
      </c>
      <c r="H16" s="10">
        <v>0.95312906559999999</v>
      </c>
      <c r="I16" s="7">
        <v>175000</v>
      </c>
      <c r="J16" s="7">
        <v>66</v>
      </c>
      <c r="K16" s="10">
        <v>0.97774749999999999</v>
      </c>
      <c r="L16" s="1"/>
    </row>
    <row r="17" spans="1:12" ht="15.6" x14ac:dyDescent="0.6">
      <c r="A17" s="5" t="s">
        <v>138</v>
      </c>
      <c r="B17" s="8">
        <v>219</v>
      </c>
      <c r="C17" s="11">
        <v>9.1440501043840994E-3</v>
      </c>
      <c r="D17" s="8">
        <v>71135269</v>
      </c>
      <c r="E17" s="11">
        <v>5.2514689143307001E-3</v>
      </c>
      <c r="F17" s="8">
        <v>324818.57990900002</v>
      </c>
      <c r="G17" s="8">
        <v>101.1142</v>
      </c>
      <c r="H17" s="11">
        <v>0.96733518709999999</v>
      </c>
      <c r="I17" s="8">
        <v>275000</v>
      </c>
      <c r="J17" s="8">
        <v>66</v>
      </c>
      <c r="K17" s="11">
        <v>0.98</v>
      </c>
      <c r="L17" s="1"/>
    </row>
    <row r="18" spans="1:12" ht="15.6" x14ac:dyDescent="0.55000000000000004">
      <c r="A18" s="6" t="s">
        <v>137</v>
      </c>
      <c r="B18" s="9">
        <f>SUM(B6:B17)</f>
        <v>23950</v>
      </c>
      <c r="C18" s="12">
        <f>SUM(C6:C17)</f>
        <v>1.0000000000000011</v>
      </c>
      <c r="D18" s="9">
        <f>SUM(D6:D17)</f>
        <v>13545785029</v>
      </c>
      <c r="E18" s="12">
        <f>SUM(E6:E17)</f>
        <v>1.0000000000000009</v>
      </c>
      <c r="F18" s="9">
        <v>565586.01373699994</v>
      </c>
      <c r="G18" s="9">
        <v>31.779800000000002</v>
      </c>
      <c r="H18" s="12">
        <v>0.99979133389999997</v>
      </c>
      <c r="I18" s="9">
        <v>435000</v>
      </c>
      <c r="J18" s="9">
        <v>11</v>
      </c>
      <c r="K18" s="12">
        <v>1</v>
      </c>
      <c r="L1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81BC-B082-445E-934D-0575C2DC9357}">
  <dimension ref="A1:L18"/>
  <sheetViews>
    <sheetView workbookViewId="0">
      <pane xSplit="1" ySplit="5" topLeftCell="B6" activePane="bottomRight" state="frozen"/>
      <selection pane="topRight"/>
      <selection pane="bottomLeft"/>
      <selection pane="bottomRight" activeCell="A19" sqref="A19"/>
    </sheetView>
  </sheetViews>
  <sheetFormatPr defaultRowHeight="14.4" x14ac:dyDescent="0.55000000000000004"/>
  <cols>
    <col min="1" max="1" width="45.26171875" customWidth="1"/>
    <col min="2" max="7" width="15" customWidth="1"/>
    <col min="8" max="11" width="10" customWidth="1"/>
    <col min="12" max="12" width="20" customWidth="1"/>
  </cols>
  <sheetData>
    <row r="1" spans="1:12" ht="18.3" x14ac:dyDescent="0.7">
      <c r="A1" s="2" t="s">
        <v>162</v>
      </c>
    </row>
    <row r="2" spans="1:12" ht="18.3" x14ac:dyDescent="0.7">
      <c r="A2" s="2" t="s">
        <v>154</v>
      </c>
    </row>
    <row r="5" spans="1:12" ht="31.2" x14ac:dyDescent="0.55000000000000004">
      <c r="A5" s="3" t="s">
        <v>150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2" ht="15.6" x14ac:dyDescent="0.6">
      <c r="A6" s="4" t="s">
        <v>149</v>
      </c>
      <c r="B6" s="7">
        <v>4567</v>
      </c>
      <c r="C6" s="10">
        <v>0.65646111829812004</v>
      </c>
      <c r="D6" s="7">
        <v>2637480925</v>
      </c>
      <c r="E6" s="10">
        <v>0.75876264856414</v>
      </c>
      <c r="F6" s="7">
        <v>577508.413619</v>
      </c>
      <c r="G6" s="7">
        <v>18.1953</v>
      </c>
      <c r="H6" s="10">
        <v>1.0039579237</v>
      </c>
      <c r="I6" s="7">
        <v>535000</v>
      </c>
      <c r="J6" s="7">
        <v>7</v>
      </c>
      <c r="K6" s="10">
        <v>1</v>
      </c>
      <c r="L6" s="1"/>
    </row>
    <row r="7" spans="1:12" ht="15.6" x14ac:dyDescent="0.6">
      <c r="A7" s="5" t="s">
        <v>148</v>
      </c>
      <c r="B7" s="8">
        <v>1111</v>
      </c>
      <c r="C7" s="11">
        <v>0.15969527095012001</v>
      </c>
      <c r="D7" s="8">
        <v>370790378</v>
      </c>
      <c r="E7" s="11">
        <v>0.10667068209162001</v>
      </c>
      <c r="F7" s="8">
        <v>333744.71467100002</v>
      </c>
      <c r="G7" s="8">
        <v>29.4041</v>
      </c>
      <c r="H7" s="11">
        <v>0.99802856399999995</v>
      </c>
      <c r="I7" s="8">
        <v>302500</v>
      </c>
      <c r="J7" s="8">
        <v>17</v>
      </c>
      <c r="K7" s="11">
        <v>1</v>
      </c>
      <c r="L7" s="1"/>
    </row>
    <row r="8" spans="1:12" ht="15.6" x14ac:dyDescent="0.6">
      <c r="A8" s="4" t="s">
        <v>147</v>
      </c>
      <c r="B8" s="7">
        <v>809</v>
      </c>
      <c r="C8" s="10">
        <v>0.11628575535431999</v>
      </c>
      <c r="D8" s="7">
        <v>321917375</v>
      </c>
      <c r="E8" s="10">
        <v>9.2610671705167E-2</v>
      </c>
      <c r="F8" s="7">
        <v>397920.11742899998</v>
      </c>
      <c r="G8" s="7">
        <v>33.652700000000003</v>
      </c>
      <c r="H8" s="10">
        <v>0.99835059059999998</v>
      </c>
      <c r="I8" s="7">
        <v>370000</v>
      </c>
      <c r="J8" s="7">
        <v>14</v>
      </c>
      <c r="K8" s="10">
        <v>1</v>
      </c>
      <c r="L8" s="1"/>
    </row>
    <row r="9" spans="1:12" ht="15.6" x14ac:dyDescent="0.6">
      <c r="A9" s="5" t="s">
        <v>143</v>
      </c>
      <c r="B9" s="8">
        <v>129</v>
      </c>
      <c r="C9" s="11">
        <v>1.8542475204829999E-2</v>
      </c>
      <c r="D9" s="8">
        <v>35614200</v>
      </c>
      <c r="E9" s="11">
        <v>1.0245656930578001E-2</v>
      </c>
      <c r="F9" s="8">
        <v>276079.06976699998</v>
      </c>
      <c r="G9" s="8">
        <v>40.883699999999997</v>
      </c>
      <c r="H9" s="11">
        <v>0.98995686650000003</v>
      </c>
      <c r="I9" s="8">
        <v>267900</v>
      </c>
      <c r="J9" s="8">
        <v>21</v>
      </c>
      <c r="K9" s="11">
        <v>1</v>
      </c>
      <c r="L9" s="1"/>
    </row>
    <row r="10" spans="1:12" ht="15.6" x14ac:dyDescent="0.6">
      <c r="A10" s="4" t="s">
        <v>142</v>
      </c>
      <c r="B10" s="7">
        <v>114</v>
      </c>
      <c r="C10" s="10">
        <v>1.6386373436826002E-2</v>
      </c>
      <c r="D10" s="7">
        <v>39437080</v>
      </c>
      <c r="E10" s="10">
        <v>1.1345440639513E-2</v>
      </c>
      <c r="F10" s="7">
        <v>345939.29824600002</v>
      </c>
      <c r="G10" s="7">
        <v>28.008800000000001</v>
      </c>
      <c r="H10" s="10">
        <v>0.98665773469999996</v>
      </c>
      <c r="I10" s="7">
        <v>351730</v>
      </c>
      <c r="J10" s="7">
        <v>14.5</v>
      </c>
      <c r="K10" s="10">
        <v>0.99437549999999997</v>
      </c>
      <c r="L10" s="1"/>
    </row>
    <row r="11" spans="1:12" ht="15.6" x14ac:dyDescent="0.6">
      <c r="A11" s="5" t="s">
        <v>146</v>
      </c>
      <c r="B11" s="8">
        <v>101</v>
      </c>
      <c r="C11" s="11">
        <v>1.4517751904556999E-2</v>
      </c>
      <c r="D11" s="8">
        <v>30815835</v>
      </c>
      <c r="E11" s="11">
        <v>8.8652412082622003E-3</v>
      </c>
      <c r="F11" s="8">
        <v>305107.27722799999</v>
      </c>
      <c r="G11" s="8">
        <v>54.029699999999998</v>
      </c>
      <c r="H11" s="11">
        <v>0.99077859349999997</v>
      </c>
      <c r="I11" s="8">
        <v>310000</v>
      </c>
      <c r="J11" s="8">
        <v>22</v>
      </c>
      <c r="K11" s="11">
        <v>1</v>
      </c>
      <c r="L11" s="1"/>
    </row>
    <row r="12" spans="1:12" ht="15.6" x14ac:dyDescent="0.6">
      <c r="A12" s="4" t="s">
        <v>144</v>
      </c>
      <c r="B12" s="7">
        <v>74</v>
      </c>
      <c r="C12" s="10">
        <v>1.0636768722150001E-2</v>
      </c>
      <c r="D12" s="7">
        <v>25317200</v>
      </c>
      <c r="E12" s="10">
        <v>7.2833685901360998E-3</v>
      </c>
      <c r="F12" s="7">
        <v>342124.32432399999</v>
      </c>
      <c r="G12" s="7">
        <v>26.432400000000001</v>
      </c>
      <c r="H12" s="10">
        <v>0.97378175229999997</v>
      </c>
      <c r="I12" s="7">
        <v>285000</v>
      </c>
      <c r="J12" s="7">
        <v>12</v>
      </c>
      <c r="K12" s="10">
        <v>0.98777599999999999</v>
      </c>
      <c r="L12" s="1"/>
    </row>
    <row r="13" spans="1:12" ht="15.6" x14ac:dyDescent="0.6">
      <c r="A13" s="5" t="s">
        <v>141</v>
      </c>
      <c r="B13" s="8">
        <v>18</v>
      </c>
      <c r="C13" s="11">
        <v>2.5873221216041E-3</v>
      </c>
      <c r="D13" s="8">
        <v>5590050</v>
      </c>
      <c r="E13" s="11">
        <v>1.6081713059616001E-3</v>
      </c>
      <c r="F13" s="8">
        <v>310558.33333300002</v>
      </c>
      <c r="G13" s="8">
        <v>21.833300000000001</v>
      </c>
      <c r="H13" s="11">
        <v>0.99237857200000001</v>
      </c>
      <c r="I13" s="8">
        <v>279950</v>
      </c>
      <c r="J13" s="8">
        <v>8</v>
      </c>
      <c r="K13" s="11">
        <v>1</v>
      </c>
      <c r="L13" s="1"/>
    </row>
    <row r="14" spans="1:12" ht="15.6" x14ac:dyDescent="0.6">
      <c r="A14" s="4" t="s">
        <v>138</v>
      </c>
      <c r="B14" s="7">
        <v>18</v>
      </c>
      <c r="C14" s="10">
        <v>2.5873221216041E-3</v>
      </c>
      <c r="D14" s="7">
        <v>3951657</v>
      </c>
      <c r="E14" s="10">
        <v>1.1368308688477001E-3</v>
      </c>
      <c r="F14" s="7">
        <v>219536.5</v>
      </c>
      <c r="G14" s="7">
        <v>93.777799999999999</v>
      </c>
      <c r="H14" s="10">
        <v>0.94165726839999997</v>
      </c>
      <c r="I14" s="7">
        <v>199000</v>
      </c>
      <c r="J14" s="7">
        <v>51.5</v>
      </c>
      <c r="K14" s="10">
        <v>0.95584499999999994</v>
      </c>
      <c r="L14" s="1"/>
    </row>
    <row r="15" spans="1:12" ht="15.6" x14ac:dyDescent="0.6">
      <c r="A15" s="5" t="s">
        <v>140</v>
      </c>
      <c r="B15" s="8">
        <v>13</v>
      </c>
      <c r="C15" s="11">
        <v>1.8686215322697001E-3</v>
      </c>
      <c r="D15" s="8">
        <v>3885190</v>
      </c>
      <c r="E15" s="11">
        <v>1.1177093364476E-3</v>
      </c>
      <c r="F15" s="8">
        <v>298860.76923099998</v>
      </c>
      <c r="G15" s="8">
        <v>17.384599999999999</v>
      </c>
      <c r="H15" s="11">
        <v>1.0042707100999999</v>
      </c>
      <c r="I15" s="8">
        <v>295000</v>
      </c>
      <c r="J15" s="8">
        <v>14</v>
      </c>
      <c r="K15" s="11">
        <v>1</v>
      </c>
      <c r="L15" s="1"/>
    </row>
    <row r="16" spans="1:12" ht="15.6" x14ac:dyDescent="0.6">
      <c r="A16" s="4" t="s">
        <v>145</v>
      </c>
      <c r="B16" s="7">
        <v>2</v>
      </c>
      <c r="C16" s="10">
        <v>2.8748023573379002E-4</v>
      </c>
      <c r="D16" s="7">
        <v>919050</v>
      </c>
      <c r="E16" s="10">
        <v>2.6439653290112998E-4</v>
      </c>
      <c r="F16" s="7">
        <v>459525</v>
      </c>
      <c r="G16" s="7">
        <v>24.5</v>
      </c>
      <c r="H16" s="10">
        <v>0.98987049620000001</v>
      </c>
      <c r="I16" s="7">
        <v>459525</v>
      </c>
      <c r="J16" s="7">
        <v>24.5</v>
      </c>
      <c r="K16" s="10">
        <v>0.98987049999999999</v>
      </c>
      <c r="L16" s="1"/>
    </row>
    <row r="17" spans="1:12" ht="15.6" x14ac:dyDescent="0.6">
      <c r="A17" s="5" t="s">
        <v>139</v>
      </c>
      <c r="B17" s="8">
        <v>1</v>
      </c>
      <c r="C17" s="11">
        <v>1.437401178669E-4</v>
      </c>
      <c r="D17" s="8">
        <v>310000</v>
      </c>
      <c r="E17" s="11">
        <v>8.9182226428759004E-5</v>
      </c>
      <c r="F17" s="8">
        <v>310000</v>
      </c>
      <c r="G17" s="8">
        <v>259</v>
      </c>
      <c r="H17" s="11">
        <v>0.95384615380000004</v>
      </c>
      <c r="I17" s="8">
        <v>310000</v>
      </c>
      <c r="J17" s="8">
        <v>259</v>
      </c>
      <c r="K17" s="11">
        <v>0.95384599999999997</v>
      </c>
      <c r="L17" s="1"/>
    </row>
    <row r="18" spans="1:12" ht="15.6" x14ac:dyDescent="0.55000000000000004">
      <c r="A18" s="6" t="s">
        <v>137</v>
      </c>
      <c r="B18" s="9">
        <f>SUM(B6:B17)</f>
        <v>6957</v>
      </c>
      <c r="C18" s="12">
        <f>SUM(C6:C17)</f>
        <v>1.0000000000000016</v>
      </c>
      <c r="D18" s="9">
        <f>SUM(D6:D17)</f>
        <v>3476028940</v>
      </c>
      <c r="E18" s="12">
        <f>SUM(E6:E17)</f>
        <v>1.0000000000000031</v>
      </c>
      <c r="F18" s="9">
        <v>499644.80954400002</v>
      </c>
      <c r="G18" s="9">
        <v>23.212</v>
      </c>
      <c r="H18" s="12">
        <v>1.0011017473999999</v>
      </c>
      <c r="I18" s="9">
        <v>445000</v>
      </c>
      <c r="J18" s="9">
        <v>9</v>
      </c>
      <c r="K18" s="12">
        <v>1</v>
      </c>
      <c r="L1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CityCounty SFCT</vt:lpstr>
      <vt:lpstr>CityCounty SF</vt:lpstr>
      <vt:lpstr>CityCounty CT</vt:lpstr>
      <vt:lpstr>MSA SFCT</vt:lpstr>
      <vt:lpstr>MSA SF</vt:lpstr>
      <vt:lpstr>MSA CT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BrandPerformance</dc:title>
  <dc:subject>PhpSpreadsheet</dc:subject>
  <dc:creator>Your Name</dc:creator>
  <cp:keywords>Microsoft office 2013 php PhpSpreadsheet</cp:keywords>
  <dc:description>Generated by REDATUM using PhpSpreadsheet.</dc:description>
  <cp:lastModifiedBy>Ryan Price</cp:lastModifiedBy>
  <dcterms:created xsi:type="dcterms:W3CDTF">2023-01-12T20:43:03Z</dcterms:created>
  <dcterms:modified xsi:type="dcterms:W3CDTF">2025-08-10T02:57:37Z</dcterms:modified>
  <cp:category>Export</cp:category>
</cp:coreProperties>
</file>